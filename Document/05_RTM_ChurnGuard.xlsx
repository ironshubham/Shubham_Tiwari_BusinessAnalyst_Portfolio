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RTM" sheetId="2" state="visible" r:id="rId4"/>
    <sheet name="Coverage Summary" sheetId="3" state="visible" r:id="rId5"/>
  </sheets>
  <definedNames>
    <definedName function="false" hidden="true" localSheetId="1" name="_xlnm._FilterDatabase" vbProcedure="false">RTM!$A$1:$N$61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<sst xmlns="http://schemas.openxmlformats.org/spreadsheetml/2006/main" count="820" uniqueCount="347">
  <si>
    <t xml:space="preserve">Requirements Traceability Matrix — ChurnGuard R1</t>
  </si>
  <si>
    <t xml:space="preserve">Document ID: RTM-CG-001  |  Version 1.0  |  Owner: Shubham Tiwari, Senior Business Analyst</t>
  </si>
  <si>
    <t xml:space="preserve">Project: ChurnGuard — churn-risk detection and retention workflow, B2B SaaS for e-commerce sellers</t>
  </si>
  <si>
    <t xml:space="preserve">Purpose</t>
  </si>
  <si>
    <t xml:space="preserve">Proves that every business requirement is realised in a functional requirement, specified in the FSD,</t>
  </si>
  <si>
    <t xml:space="preserve">built from a user story, tested, accepted in UAT and signed off. Read left to right for forward</t>
  </si>
  <si>
    <t xml:space="preserve">traceability; filter any column to trace backwards from a test or a story to its business driver.</t>
  </si>
  <si>
    <t xml:space="preserve">Sheets</t>
  </si>
  <si>
    <t xml:space="preserve">RTM — one row per functional requirement, with its full trace chain.</t>
  </si>
  <si>
    <t xml:space="preserve">Coverage Summary — live formulas counting requirements, test coverage and pass rate per business requirement.</t>
  </si>
  <si>
    <t xml:space="preserve">Source documents</t>
  </si>
  <si>
    <t xml:space="preserve">BRD-CG-001  Business Requirements Document      (BR IDs)</t>
  </si>
  <si>
    <t xml:space="preserve">FRD-CG-001  Functional Requirements Document    (FR IDs)</t>
  </si>
  <si>
    <t xml:space="preserve">FSD-CG-001  Functional Specification Document   (FSD Ref column)</t>
  </si>
  <si>
    <t xml:space="preserve">US-CG-001   User Stories and Acceptance Criteria (US IDs)</t>
  </si>
  <si>
    <t xml:space="preserve">UAT-CG-001  UAT Plan and Sign-off Pack           (UAT scenario IDs)</t>
  </si>
  <si>
    <t xml:space="preserve">Conventions</t>
  </si>
  <si>
    <t xml:space="preserve">A functional requirement may appear against more than one business requirement where it serves both;</t>
  </si>
  <si>
    <t xml:space="preserve">FR-041, FR-045 and FR-051 each appear twice for that reason.</t>
  </si>
  <si>
    <t xml:space="preserve">SIT Status and UAT Status are set from executed test evidence, never assumed.</t>
  </si>
  <si>
    <t xml:space="preserve">'Pass with S4 open' means accepted with a low-severity defect logged and scheduled — see Defect Ref.</t>
  </si>
  <si>
    <t xml:space="preserve">Status in the final column is a formula: Closed only when both SIT and UAT have passed.</t>
  </si>
  <si>
    <t xml:space="preserve">Note</t>
  </si>
  <si>
    <t xml:space="preserve">Portfolio sample. Requirement content reflects real delivery practice; account volumes, thresholds</t>
  </si>
  <si>
    <t xml:space="preserve">and metrics are illustrative and anonymised.</t>
  </si>
  <si>
    <t xml:space="preserve">BR ID</t>
  </si>
  <si>
    <t xml:space="preserve">Business Requirement</t>
  </si>
  <si>
    <t xml:space="preserve">Priority</t>
  </si>
  <si>
    <t xml:space="preserve">FR ID</t>
  </si>
  <si>
    <t xml:space="preserve">Functional Requirement</t>
  </si>
  <si>
    <t xml:space="preserve">FSD Ref</t>
  </si>
  <si>
    <t xml:space="preserve">User Story</t>
  </si>
  <si>
    <t xml:space="preserve">Test Case ID</t>
  </si>
  <si>
    <t xml:space="preserve">Test Type</t>
  </si>
  <si>
    <t xml:space="preserve">SIT Status</t>
  </si>
  <si>
    <t xml:space="preserve">UAT Scenario</t>
  </si>
  <si>
    <t xml:space="preserve">UAT Status</t>
  </si>
  <si>
    <t xml:space="preserve">Defect Ref</t>
  </si>
  <si>
    <t xml:space="preserve">Status</t>
  </si>
  <si>
    <t xml:space="preserve">BR-01</t>
  </si>
  <si>
    <t xml:space="preserve">Single, consistently calculated churn-risk score per high-value account, refreshed daily</t>
  </si>
  <si>
    <t xml:space="preserve">Must</t>
  </si>
  <si>
    <t xml:space="preserve">FR-011</t>
  </si>
  <si>
    <t xml:space="preserve">Calculate composite score as weighted sum of five sub-scores, 0-100</t>
  </si>
  <si>
    <t xml:space="preserve">FSD 3.1</t>
  </si>
  <si>
    <t xml:space="preserve">US-03</t>
  </si>
  <si>
    <t xml:space="preserve">TC-001</t>
  </si>
  <si>
    <t xml:space="preserve">Functional</t>
  </si>
  <si>
    <t xml:space="preserve">Pass</t>
  </si>
  <si>
    <t xml:space="preserve">UAT-01</t>
  </si>
  <si>
    <t xml:space="preserve">FR-014</t>
  </si>
  <si>
    <t xml:space="preserve">Complete a full scoring cycle daily within the batch window</t>
  </si>
  <si>
    <t xml:space="preserve">FSD 2</t>
  </si>
  <si>
    <t xml:space="preserve">US-01</t>
  </si>
  <si>
    <t xml:space="preserve">TC-002</t>
  </si>
  <si>
    <t xml:space="preserve">Functional / Performance</t>
  </si>
  <si>
    <t xml:space="preserve">FR-015</t>
  </si>
  <si>
    <t xml:space="preserve">Allow on-demand rescore of a single account</t>
  </si>
  <si>
    <t xml:space="preserve">FSD 5.1</t>
  </si>
  <si>
    <t xml:space="preserve">US-15</t>
  </si>
  <si>
    <t xml:space="preserve">TC-003</t>
  </si>
  <si>
    <t xml:space="preserve">UAT-07</t>
  </si>
  <si>
    <t xml:space="preserve">BR-02</t>
  </si>
  <si>
    <t xml:space="preserve">Score derived from five weighted signals: usage, marketplace health, support, commercial, engagement</t>
  </si>
  <si>
    <t xml:space="preserve">FR-001</t>
  </si>
  <si>
    <t xml:space="preserve">Retrieve product usage metrics, 30d and 90d windows</t>
  </si>
  <si>
    <t xml:space="preserve">FSD 3.2</t>
  </si>
  <si>
    <t xml:space="preserve">US-02</t>
  </si>
  <si>
    <t xml:space="preserve">TC-004</t>
  </si>
  <si>
    <t xml:space="preserve">Interface</t>
  </si>
  <si>
    <t xml:space="preserve">UAT-02</t>
  </si>
  <si>
    <t xml:space="preserve">FR-002</t>
  </si>
  <si>
    <t xml:space="preserve">Retrieve marketplace connector health and store performance</t>
  </si>
  <si>
    <t xml:space="preserve">FSD 3.3</t>
  </si>
  <si>
    <t xml:space="preserve">TC-005</t>
  </si>
  <si>
    <t xml:space="preserve">FR-003</t>
  </si>
  <si>
    <t xml:space="preserve">Retrieve support metrics: volume, priority, SLA breaches, reopens, CSAT</t>
  </si>
  <si>
    <t xml:space="preserve">FSD 3.4</t>
  </si>
  <si>
    <t xml:space="preserve">TC-006</t>
  </si>
  <si>
    <t xml:space="preserve">FR-004</t>
  </si>
  <si>
    <t xml:space="preserve">Retrieve commercial data: plan, seats, failed payments, invoice ageing, renewal</t>
  </si>
  <si>
    <t xml:space="preserve">FSD 3.5</t>
  </si>
  <si>
    <t xml:space="preserve">TC-007</t>
  </si>
  <si>
    <t xml:space="preserve">FR-005</t>
  </si>
  <si>
    <t xml:space="preserve">Retrieve engagement data: last activity, QBR attendance, champion status, response rate</t>
  </si>
  <si>
    <t xml:space="preserve">FSD 3.6</t>
  </si>
  <si>
    <t xml:space="preserve">TC-008</t>
  </si>
  <si>
    <t xml:space="preserve">FR-010</t>
  </si>
  <si>
    <t xml:space="preserve">Calculate a 0-100 sub-score per signal using the banded rules</t>
  </si>
  <si>
    <t xml:space="preserve">FSD 3.2-3.6</t>
  </si>
  <si>
    <t xml:space="preserve">TC-009; TC-010</t>
  </si>
  <si>
    <t xml:space="preserve">Functional / Data reconciliation</t>
  </si>
  <si>
    <t xml:space="preserve">BR-03</t>
  </si>
  <si>
    <t xml:space="preserve">Accounts classified into agreed risk tiers; tier movement detected and retained</t>
  </si>
  <si>
    <t xml:space="preserve">FR-016</t>
  </si>
  <si>
    <t xml:space="preserve">Assign risk tier from composite using configured boundaries</t>
  </si>
  <si>
    <t xml:space="preserve">FSD 3.7</t>
  </si>
  <si>
    <t xml:space="preserve">TC-011</t>
  </si>
  <si>
    <t xml:space="preserve">UAT-03</t>
  </si>
  <si>
    <t xml:space="preserve">FR-017</t>
  </si>
  <si>
    <t xml:space="preserve">Compare new tier with previous and classify the movement</t>
  </si>
  <si>
    <t xml:space="preserve">US-04</t>
  </si>
  <si>
    <t xml:space="preserve">TC-012</t>
  </si>
  <si>
    <t xml:space="preserve">FR-018</t>
  </si>
  <si>
    <t xml:space="preserve">Apply configurable hysteresis buffer at each tier boundary</t>
  </si>
  <si>
    <t xml:space="preserve">TC-013; TC-014</t>
  </si>
  <si>
    <t xml:space="preserve">Functional / Boundary</t>
  </si>
  <si>
    <t xml:space="preserve">BR-04</t>
  </si>
  <si>
    <t xml:space="preserve">Owning CSM alerted automatically on escalation, with an SLA-bound due date</t>
  </si>
  <si>
    <t xml:space="preserve">FR-021</t>
  </si>
  <si>
    <t xml:space="preserve">Create a Retention Task on escalation into Watch or Critical</t>
  </si>
  <si>
    <t xml:space="preserve">FSD 5.2</t>
  </si>
  <si>
    <t xml:space="preserve">US-08</t>
  </si>
  <si>
    <t xml:space="preserve">TC-015</t>
  </si>
  <si>
    <t xml:space="preserve">UAT-05</t>
  </si>
  <si>
    <t xml:space="preserve">FR-022</t>
  </si>
  <si>
    <t xml:space="preserve">Task carries score, tier change, dominant driver, top three signals, deep link</t>
  </si>
  <si>
    <t xml:space="preserve">TC-016</t>
  </si>
  <si>
    <t xml:space="preserve">FR-023</t>
  </si>
  <si>
    <t xml:space="preserve">Set due date from tier SLA on the CS business calendar</t>
  </si>
  <si>
    <t xml:space="preserve">FSD 4.4</t>
  </si>
  <si>
    <t xml:space="preserve">US-09</t>
  </si>
  <si>
    <t xml:space="preserve">TC-017</t>
  </si>
  <si>
    <t xml:space="preserve">FR-024</t>
  </si>
  <si>
    <t xml:space="preserve">Notify CS Manager on a Stable-to-Critical move in one cycle</t>
  </si>
  <si>
    <t xml:space="preserve">TC-018</t>
  </si>
  <si>
    <t xml:space="preserve">FR-025</t>
  </si>
  <si>
    <t xml:space="preserve">Route to CS Manager queue where no active owning CSM exists</t>
  </si>
  <si>
    <t xml:space="preserve">TC-019</t>
  </si>
  <si>
    <t xml:space="preserve">Functional / Negative</t>
  </si>
  <si>
    <t xml:space="preserve">FR-026</t>
  </si>
  <si>
    <t xml:space="preserve">Prevent duplicate tasks for the same account and tier; update instead</t>
  </si>
  <si>
    <t xml:space="preserve">TC-020</t>
  </si>
  <si>
    <t xml:space="preserve">FR-028</t>
  </si>
  <si>
    <t xml:space="preserve">Record first touch and elapsed business time</t>
  </si>
  <si>
    <t xml:space="preserve">US-10</t>
  </si>
  <si>
    <t xml:space="preserve">TC-021</t>
  </si>
  <si>
    <t xml:space="preserve">FR-029</t>
  </si>
  <si>
    <t xml:space="preserve">Mark SLA breached and notify the CS Manager</t>
  </si>
  <si>
    <t xml:space="preserve">TC-022</t>
  </si>
  <si>
    <t xml:space="preserve">FR-030</t>
  </si>
  <si>
    <t xml:space="preserve">Suppress alerting during the configured shadow-run period</t>
  </si>
  <si>
    <t xml:space="preserve">FSD 8 (M-4)</t>
  </si>
  <si>
    <t xml:space="preserve">US-12</t>
  </si>
  <si>
    <t xml:space="preserve">TC-064</t>
  </si>
  <si>
    <t xml:space="preserve">Functional / Cutover</t>
  </si>
  <si>
    <t xml:space="preserve">UAT-01 / CU-3</t>
  </si>
  <si>
    <t xml:space="preserve">BR-05</t>
  </si>
  <si>
    <t xml:space="preserve">Each alert carries a retention playbook selected from the dominant risk driver</t>
  </si>
  <si>
    <t xml:space="preserve">FR-013</t>
  </si>
  <si>
    <t xml:space="preserve">Identify dominant risk driver and two next contributors</t>
  </si>
  <si>
    <t xml:space="preserve">US-03; US-11</t>
  </si>
  <si>
    <t xml:space="preserve">TC-023</t>
  </si>
  <si>
    <t xml:space="preserve">UAT-06</t>
  </si>
  <si>
    <t xml:space="preserve">FR-027</t>
  </si>
  <si>
    <t xml:space="preserve">Attach playbook mapped to the dominant driver from configuration</t>
  </si>
  <si>
    <t xml:space="preserve">FSD 4.5</t>
  </si>
  <si>
    <t xml:space="preserve">US-11</t>
  </si>
  <si>
    <t xml:space="preserve">TC-024</t>
  </si>
  <si>
    <t xml:space="preserve">BR-06</t>
  </si>
  <si>
    <t xml:space="preserve">CSM can see which signals drove the score, with underlying values and comparison period</t>
  </si>
  <si>
    <t xml:space="preserve">FR-012</t>
  </si>
  <si>
    <t xml:space="preserve">Record sub-score, raw inputs and comparison period for every signal</t>
  </si>
  <si>
    <t xml:space="preserve">FSD 4.2</t>
  </si>
  <si>
    <t xml:space="preserve">US-02; US-14</t>
  </si>
  <si>
    <t xml:space="preserve">TC-025</t>
  </si>
  <si>
    <t xml:space="preserve">FR-031</t>
  </si>
  <si>
    <t xml:space="preserve">Present a risk panel on the Account record</t>
  </si>
  <si>
    <t xml:space="preserve">US-13</t>
  </si>
  <si>
    <t xml:space="preserve">TC-026</t>
  </si>
  <si>
    <t xml:space="preserve">Functional / Usability</t>
  </si>
  <si>
    <t xml:space="preserve">FR-032</t>
  </si>
  <si>
    <t xml:space="preserve">Show each signal with sub-score, contribution, inputs and period</t>
  </si>
  <si>
    <t xml:space="preserve">US-14</t>
  </si>
  <si>
    <t xml:space="preserve">TC-027; TC-028</t>
  </si>
  <si>
    <t xml:space="preserve">BR-07</t>
  </si>
  <si>
    <t xml:space="preserve">Every intervention recorded as a structured retention case closed with an outcome</t>
  </si>
  <si>
    <t xml:space="preserve">FR-035</t>
  </si>
  <si>
    <t xml:space="preserve">Provide a one-step action to open a pre-populated retention case</t>
  </si>
  <si>
    <t xml:space="preserve">US-16</t>
  </si>
  <si>
    <t xml:space="preserve">TC-029</t>
  </si>
  <si>
    <t xml:space="preserve">UAT-08</t>
  </si>
  <si>
    <t xml:space="preserve">FR-036</t>
  </si>
  <si>
    <t xml:space="preserve">Retention Case object with opening score, driver, playbook, owner, outcome</t>
  </si>
  <si>
    <t xml:space="preserve">FSD 4.3</t>
  </si>
  <si>
    <t xml:space="preserve">TC-030</t>
  </si>
  <si>
    <t xml:space="preserve">FR-037</t>
  </si>
  <si>
    <t xml:space="preserve">Support the six defined case statuses</t>
  </si>
  <si>
    <t xml:space="preserve">US-17</t>
  </si>
  <si>
    <t xml:space="preserve">TC-031</t>
  </si>
  <si>
    <t xml:space="preserve">FR-038</t>
  </si>
  <si>
    <t xml:space="preserve">Require a controlled closure reason before any Closed status</t>
  </si>
  <si>
    <t xml:space="preserve">FSD 6 (V-03, V-04)</t>
  </si>
  <si>
    <t xml:space="preserve">TC-032</t>
  </si>
  <si>
    <t xml:space="preserve">FR-039</t>
  </si>
  <si>
    <t xml:space="preserve">Prevent more than one open case per account</t>
  </si>
  <si>
    <t xml:space="preserve">FSD 6 (V-05)</t>
  </si>
  <si>
    <t xml:space="preserve">TC-033</t>
  </si>
  <si>
    <t xml:space="preserve">FR-040</t>
  </si>
  <si>
    <t xml:space="preserve">Auto-close as Saved after 30 consecutive Stable days unless on hold</t>
  </si>
  <si>
    <t xml:space="preserve">US-18</t>
  </si>
  <si>
    <t xml:space="preserve">TC-034</t>
  </si>
  <si>
    <t xml:space="preserve">FR-041</t>
  </si>
  <si>
    <t xml:space="preserve">Link the case to the renewal outcome</t>
  </si>
  <si>
    <t xml:space="preserve">US-19</t>
  </si>
  <si>
    <t xml:space="preserve">TC-035</t>
  </si>
  <si>
    <t xml:space="preserve">BR-08</t>
  </si>
  <si>
    <t xml:space="preserve">Leadership dashboard: tier mix, ARR at risk, SLA compliance, save rate</t>
  </si>
  <si>
    <t xml:space="preserve">FR-042</t>
  </si>
  <si>
    <t xml:space="preserve">Retention Health dashboard with tier, ARR, movement, cases, SLA, save rate</t>
  </si>
  <si>
    <t xml:space="preserve">FSD 5.3</t>
  </si>
  <si>
    <t xml:space="preserve">US-20</t>
  </si>
  <si>
    <t xml:space="preserve">TC-036</t>
  </si>
  <si>
    <t xml:space="preserve">Functional / Reconciliation</t>
  </si>
  <si>
    <t xml:space="preserve">UAT-09</t>
  </si>
  <si>
    <t xml:space="preserve">FR-043</t>
  </si>
  <si>
    <t xml:space="preserve">Filter by team, CSM, plan, primary marketplace and date range</t>
  </si>
  <si>
    <t xml:space="preserve">US-21</t>
  </si>
  <si>
    <t xml:space="preserve">TC-037</t>
  </si>
  <si>
    <t xml:space="preserve">FR-044</t>
  </si>
  <si>
    <t xml:space="preserve">Critical worklist ordered by ARR descending</t>
  </si>
  <si>
    <t xml:space="preserve">TC-038</t>
  </si>
  <si>
    <t xml:space="preserve">FR-045</t>
  </si>
  <si>
    <t xml:space="preserve">Show Critical-tier opening cohort split by final outcome</t>
  </si>
  <si>
    <t xml:space="preserve">US-22</t>
  </si>
  <si>
    <t xml:space="preserve">TC-039</t>
  </si>
  <si>
    <t xml:space="preserve">FR-046</t>
  </si>
  <si>
    <t xml:space="preserve">Refresh daily after the cycle and display the last refresh timestamp</t>
  </si>
  <si>
    <t xml:space="preserve">TC-040</t>
  </si>
  <si>
    <t xml:space="preserve">FR-047</t>
  </si>
  <si>
    <t xml:space="preserve">Export the current dashboard view subject to access rights</t>
  </si>
  <si>
    <t xml:space="preserve">TC-041</t>
  </si>
  <si>
    <t xml:space="preserve">Pass with S4 open</t>
  </si>
  <si>
    <t xml:space="preserve">CG-121</t>
  </si>
  <si>
    <t xml:space="preserve">BR-09</t>
  </si>
  <si>
    <t xml:space="preserve">Score history retained 13 months for trend analysis and model tuning</t>
  </si>
  <si>
    <t xml:space="preserve">FR-019</t>
  </si>
  <si>
    <t xml:space="preserve">Write a dated score-history record every cycle</t>
  </si>
  <si>
    <t xml:space="preserve">FSD 4.1</t>
  </si>
  <si>
    <t xml:space="preserve">US-05</t>
  </si>
  <si>
    <t xml:space="preserve">TC-042</t>
  </si>
  <si>
    <t xml:space="preserve">UAT-12</t>
  </si>
  <si>
    <t xml:space="preserve">FR-020</t>
  </si>
  <si>
    <t xml:space="preserve">Retain 13 months and archive rather than delete</t>
  </si>
  <si>
    <t xml:space="preserve">TC-043</t>
  </si>
  <si>
    <t xml:space="preserve">Inspection</t>
  </si>
  <si>
    <t xml:space="preserve">FR-033</t>
  </si>
  <si>
    <t xml:space="preserve">Display a 90-day score trend on the risk panel</t>
  </si>
  <si>
    <t xml:space="preserve">TC-044</t>
  </si>
  <si>
    <t xml:space="preserve">CG-118</t>
  </si>
  <si>
    <t xml:space="preserve">BR-10</t>
  </si>
  <si>
    <t xml:space="preserve">Weights, thresholds and SLAs adjustable by a business administrator without a code release</t>
  </si>
  <si>
    <t xml:space="preserve">FR-048</t>
  </si>
  <si>
    <t xml:space="preserve">Maintain signal weights; reject any set not totalling 100%</t>
  </si>
  <si>
    <t xml:space="preserve">FSD 6 (V-01)</t>
  </si>
  <si>
    <t xml:space="preserve">US-23</t>
  </si>
  <si>
    <t xml:space="preserve">TC-045</t>
  </si>
  <si>
    <t xml:space="preserve">UAT-10</t>
  </si>
  <si>
    <t xml:space="preserve">FR-049</t>
  </si>
  <si>
    <t xml:space="preserve">Maintain tier boundaries, hysteresis and SLA durations</t>
  </si>
  <si>
    <t xml:space="preserve">FSD 6 (V-02)</t>
  </si>
  <si>
    <t xml:space="preserve">TC-046</t>
  </si>
  <si>
    <t xml:space="preserve">FR-050</t>
  </si>
  <si>
    <t xml:space="preserve">Maintain driver-to-playbook mapping and closure reason list</t>
  </si>
  <si>
    <t xml:space="preserve">TC-047</t>
  </si>
  <si>
    <t xml:space="preserve">FR-051</t>
  </si>
  <si>
    <t xml:space="preserve">Version every configuration change; apply forward only</t>
  </si>
  <si>
    <t xml:space="preserve">US-23; US-25</t>
  </si>
  <si>
    <t xml:space="preserve">TC-048</t>
  </si>
  <si>
    <t xml:space="preserve">Functional / Audit</t>
  </si>
  <si>
    <t xml:space="preserve">FR-052</t>
  </si>
  <si>
    <t xml:space="preserve">Preview proposed configuration impact without saving</t>
  </si>
  <si>
    <t xml:space="preserve">FSD 5.4</t>
  </si>
  <si>
    <t xml:space="preserve">TC-049</t>
  </si>
  <si>
    <t xml:space="preserve">BR-11</t>
  </si>
  <si>
    <t xml:space="preserve">Scoring suppressed and flagged where source data is stale or incomplete</t>
  </si>
  <si>
    <t xml:space="preserve">FR-006</t>
  </si>
  <si>
    <t xml:space="preserve">Resolve every source record to one Account ID; log exceptions</t>
  </si>
  <si>
    <t xml:space="preserve">US-06</t>
  </si>
  <si>
    <t xml:space="preserve">TC-050</t>
  </si>
  <si>
    <t xml:space="preserve">UAT-04</t>
  </si>
  <si>
    <t xml:space="preserve">FR-007</t>
  </si>
  <si>
    <t xml:space="preserve">Mark a signal Insufficient Data on stale feed or &gt;20% nulls</t>
  </si>
  <si>
    <t xml:space="preserve">TC-051</t>
  </si>
  <si>
    <t xml:space="preserve">FR-008</t>
  </si>
  <si>
    <t xml:space="preserve">Suppress scoring where two or more signals are insufficient</t>
  </si>
  <si>
    <t xml:space="preserve">FSD 6 (V-08)</t>
  </si>
  <si>
    <t xml:space="preserve">US-07</t>
  </si>
  <si>
    <t xml:space="preserve">TC-052</t>
  </si>
  <si>
    <t xml:space="preserve">FR-009</t>
  </si>
  <si>
    <t xml:space="preserve">Redistribute weight where exactly one signal is insufficient</t>
  </si>
  <si>
    <t xml:space="preserve">FSD 6 (V-07)</t>
  </si>
  <si>
    <t xml:space="preserve">TC-053</t>
  </si>
  <si>
    <t xml:space="preserve">FR-034</t>
  </si>
  <si>
    <t xml:space="preserve">Display data-quality status and unavailable signals on the panel</t>
  </si>
  <si>
    <t xml:space="preserve">US-07; US-15</t>
  </si>
  <si>
    <t xml:space="preserve">TC-054</t>
  </si>
  <si>
    <t xml:space="preserve">BR-12</t>
  </si>
  <si>
    <t xml:space="preserve">Access follows the CRM role model; all changes auditable</t>
  </si>
  <si>
    <t xml:space="preserve">FR-056</t>
  </si>
  <si>
    <t xml:space="preserve">Restrict risk data visibility to the defined role matrix</t>
  </si>
  <si>
    <t xml:space="preserve">FSD 7</t>
  </si>
  <si>
    <t xml:space="preserve">US-25</t>
  </si>
  <si>
    <t xml:space="preserve">TC-055</t>
  </si>
  <si>
    <t xml:space="preserve">Security</t>
  </si>
  <si>
    <t xml:space="preserve">FR-057</t>
  </si>
  <si>
    <t xml:space="preserve">Write an immutable audit entry for every controlled change</t>
  </si>
  <si>
    <t xml:space="preserve">TC-056; TC-057</t>
  </si>
  <si>
    <t xml:space="preserve">Security / Audit</t>
  </si>
  <si>
    <t xml:space="preserve">FR-058</t>
  </si>
  <si>
    <t xml:space="preserve">Provide a filterable, exportable audit report</t>
  </si>
  <si>
    <t xml:space="preserve">TC-058</t>
  </si>
  <si>
    <t xml:space="preserve">BR-13</t>
  </si>
  <si>
    <t xml:space="preserve">CSM can record a justified tier override with reason and expiry</t>
  </si>
  <si>
    <t xml:space="preserve">Should</t>
  </si>
  <si>
    <t xml:space="preserve">FR-053</t>
  </si>
  <si>
    <t xml:space="preserve">Override a tier with reason, justification and expiry within 90 days</t>
  </si>
  <si>
    <t xml:space="preserve">FSD 6 (V-06)</t>
  </si>
  <si>
    <t xml:space="preserve">US-24</t>
  </si>
  <si>
    <t xml:space="preserve">TC-059</t>
  </si>
  <si>
    <t xml:space="preserve">UAT-11</t>
  </si>
  <si>
    <t xml:space="preserve">FR-054</t>
  </si>
  <si>
    <t xml:space="preserve">Show calculated and overridden tier; suppress alerts while active</t>
  </si>
  <si>
    <t xml:space="preserve">TC-060</t>
  </si>
  <si>
    <t xml:space="preserve">FR-055</t>
  </si>
  <si>
    <t xml:space="preserve">Expire the override automatically and resume alerting</t>
  </si>
  <si>
    <t xml:space="preserve">TC-061</t>
  </si>
  <si>
    <t xml:space="preserve">BR-14</t>
  </si>
  <si>
    <t xml:space="preserve">Predicted risk comparable against actual renewal outcome</t>
  </si>
  <si>
    <t xml:space="preserve">Link case to renewal outcome for accuracy analysis</t>
  </si>
  <si>
    <t xml:space="preserve">TC-062</t>
  </si>
  <si>
    <t xml:space="preserve">Report opening-tier cohort against final outcome</t>
  </si>
  <si>
    <t xml:space="preserve">TC-063</t>
  </si>
  <si>
    <t xml:space="preserve">Requirements coverage summary — ChurnGuard R1</t>
  </si>
  <si>
    <t xml:space="preserve">All figures are live formulas over the RTM sheet. A business requirement with zero test cases would show 0% and fail exit criterion X-7.</t>
  </si>
  <si>
    <t xml:space="preserve">FRs mapped</t>
  </si>
  <si>
    <t xml:space="preserve">With test case</t>
  </si>
  <si>
    <t xml:space="preserve">SIT passed</t>
  </si>
  <si>
    <t xml:space="preserve">UAT passed</t>
  </si>
  <si>
    <t xml:space="preserve">UAT coverage %</t>
  </si>
  <si>
    <t xml:space="preserve">Exit criterion X-7</t>
  </si>
  <si>
    <t xml:space="preserve">Total — Release 1</t>
  </si>
  <si>
    <t xml:space="preserve">Assumptions and sources</t>
  </si>
  <si>
    <t xml:space="preserve">• Counts are derived from the RTM sheet only; nothing on this sheet is typed in by hand.</t>
  </si>
  <si>
    <t xml:space="preserve">• 'Pass*' matches both 'Pass' and 'Pass with S4 open', per the UAT exit criteria: S4 defects may remain open with an agreed owner and date.</t>
  </si>
  <si>
    <t xml:space="preserve">• Requirement rows and statuses were supplied by the project's SIT and UAT evidence packs (UAT-CG-001, sections 6 and 10).</t>
  </si>
  <si>
    <t xml:space="preserve">• BR-15 is not listed: deferred to Release 2 and therefore out of R1 coverage.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</si>
</sst>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4" min="3" style="0" width="9"/>
    <col collapsed="false" customWidth="true" hidden="false" outlineLevel="0" max="5" min="5" style="0" width="52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10"/>
  </cols>
  <sheetData>
    <row r="1" customFormat="false" ht="31.5" hidden="false" customHeight="true" outlineLevel="0" collapsed="false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</row>
    <row r="2" customFormat="false" ht="23.85" hidden="false" customHeight="false" outlineLevel="0" collapsed="false">
      <c r="A2" s="5" t="s">
        <v>39</v>
      </c>
      <c r="B2" s="6" t="s">
        <v>40</v>
      </c>
      <c r="C2" s="5" t="s">
        <v>41</v>
      </c>
      <c r="D2" s="5" t="s">
        <v>42</v>
      </c>
      <c r="E2" s="6" t="s">
        <v>43</v>
      </c>
      <c r="F2" s="5" t="s">
        <v>44</v>
      </c>
      <c r="G2" s="5" t="s">
        <v>45</v>
      </c>
      <c r="H2" s="5" t="s">
        <v>46</v>
      </c>
      <c r="I2" s="6" t="s">
        <v>47</v>
      </c>
      <c r="J2" s="5" t="s">
        <v>48</v>
      </c>
      <c r="K2" s="5" t="s">
        <v>49</v>
      </c>
      <c r="L2" s="5" t="s">
        <v>48</v>
      </c>
      <c r="M2" s="5"/>
      <c r="N2" s="5" t="str">
        <f aca="false">IF(AND(LEFT(J2,4)="Pass",LEFT(L2,4)="Pass"),"Closed","Open")</f>
        <v>Closed</v>
      </c>
    </row>
    <row r="3" customFormat="false" ht="23.85" hidden="false" customHeight="false" outlineLevel="0" collapsed="false">
      <c r="A3" s="5" t="s">
        <v>39</v>
      </c>
      <c r="B3" s="6" t="s">
        <v>40</v>
      </c>
      <c r="C3" s="5" t="s">
        <v>41</v>
      </c>
      <c r="D3" s="5" t="s">
        <v>50</v>
      </c>
      <c r="E3" s="6" t="s">
        <v>51</v>
      </c>
      <c r="F3" s="5" t="s">
        <v>52</v>
      </c>
      <c r="G3" s="5" t="s">
        <v>53</v>
      </c>
      <c r="H3" s="5" t="s">
        <v>54</v>
      </c>
      <c r="I3" s="6" t="s">
        <v>55</v>
      </c>
      <c r="J3" s="5" t="s">
        <v>48</v>
      </c>
      <c r="K3" s="5" t="s">
        <v>49</v>
      </c>
      <c r="L3" s="5" t="s">
        <v>48</v>
      </c>
      <c r="M3" s="5"/>
      <c r="N3" s="5" t="str">
        <f aca="false">IF(AND(LEFT(J3,4)="Pass",LEFT(L3,4)="Pass"),"Closed","Open")</f>
        <v>Closed</v>
      </c>
    </row>
    <row r="4" customFormat="false" ht="23.85" hidden="false" customHeight="false" outlineLevel="0" collapsed="false">
      <c r="A4" s="5" t="s">
        <v>39</v>
      </c>
      <c r="B4" s="6" t="s">
        <v>40</v>
      </c>
      <c r="C4" s="5" t="s">
        <v>41</v>
      </c>
      <c r="D4" s="5" t="s">
        <v>56</v>
      </c>
      <c r="E4" s="6" t="s">
        <v>57</v>
      </c>
      <c r="F4" s="5" t="s">
        <v>58</v>
      </c>
      <c r="G4" s="5" t="s">
        <v>59</v>
      </c>
      <c r="H4" s="5" t="s">
        <v>60</v>
      </c>
      <c r="I4" s="6" t="s">
        <v>47</v>
      </c>
      <c r="J4" s="5" t="s">
        <v>48</v>
      </c>
      <c r="K4" s="5" t="s">
        <v>61</v>
      </c>
      <c r="L4" s="5" t="s">
        <v>48</v>
      </c>
      <c r="M4" s="5"/>
      <c r="N4" s="5" t="str">
        <f aca="false">IF(AND(LEFT(J4,4)="Pass",LEFT(L4,4)="Pass"),"Closed","Open")</f>
        <v>Closed</v>
      </c>
    </row>
    <row r="5" customFormat="false" ht="35.05" hidden="false" customHeight="false" outlineLevel="0" collapsed="false">
      <c r="A5" s="7" t="s">
        <v>62</v>
      </c>
      <c r="B5" s="8" t="s">
        <v>63</v>
      </c>
      <c r="C5" s="7" t="s">
        <v>41</v>
      </c>
      <c r="D5" s="7" t="s">
        <v>64</v>
      </c>
      <c r="E5" s="8" t="s">
        <v>65</v>
      </c>
      <c r="F5" s="7" t="s">
        <v>66</v>
      </c>
      <c r="G5" s="7" t="s">
        <v>67</v>
      </c>
      <c r="H5" s="7" t="s">
        <v>68</v>
      </c>
      <c r="I5" s="8" t="s">
        <v>69</v>
      </c>
      <c r="J5" s="7" t="s">
        <v>48</v>
      </c>
      <c r="K5" s="7" t="s">
        <v>70</v>
      </c>
      <c r="L5" s="7" t="s">
        <v>48</v>
      </c>
      <c r="M5" s="7"/>
      <c r="N5" s="7" t="str">
        <f aca="false">IF(AND(LEFT(J5,4)="Pass",LEFT(L5,4)="Pass"),"Closed","Open")</f>
        <v>Closed</v>
      </c>
    </row>
    <row r="6" customFormat="false" ht="35.05" hidden="false" customHeight="false" outlineLevel="0" collapsed="false">
      <c r="A6" s="7" t="s">
        <v>62</v>
      </c>
      <c r="B6" s="8" t="s">
        <v>63</v>
      </c>
      <c r="C6" s="7" t="s">
        <v>41</v>
      </c>
      <c r="D6" s="7" t="s">
        <v>71</v>
      </c>
      <c r="E6" s="8" t="s">
        <v>72</v>
      </c>
      <c r="F6" s="7" t="s">
        <v>73</v>
      </c>
      <c r="G6" s="7" t="s">
        <v>67</v>
      </c>
      <c r="H6" s="7" t="s">
        <v>74</v>
      </c>
      <c r="I6" s="8" t="s">
        <v>69</v>
      </c>
      <c r="J6" s="7" t="s">
        <v>48</v>
      </c>
      <c r="K6" s="7" t="s">
        <v>70</v>
      </c>
      <c r="L6" s="7" t="s">
        <v>48</v>
      </c>
      <c r="M6" s="7"/>
      <c r="N6" s="7" t="str">
        <f aca="false">IF(AND(LEFT(J6,4)="Pass",LEFT(L6,4)="Pass"),"Closed","Open")</f>
        <v>Closed</v>
      </c>
    </row>
    <row r="7" customFormat="false" ht="35.05" hidden="false" customHeight="false" outlineLevel="0" collapsed="false">
      <c r="A7" s="7" t="s">
        <v>62</v>
      </c>
      <c r="B7" s="8" t="s">
        <v>63</v>
      </c>
      <c r="C7" s="7" t="s">
        <v>41</v>
      </c>
      <c r="D7" s="7" t="s">
        <v>75</v>
      </c>
      <c r="E7" s="8" t="s">
        <v>76</v>
      </c>
      <c r="F7" s="7" t="s">
        <v>77</v>
      </c>
      <c r="G7" s="7" t="s">
        <v>67</v>
      </c>
      <c r="H7" s="7" t="s">
        <v>78</v>
      </c>
      <c r="I7" s="8" t="s">
        <v>69</v>
      </c>
      <c r="J7" s="7" t="s">
        <v>48</v>
      </c>
      <c r="K7" s="7" t="s">
        <v>70</v>
      </c>
      <c r="L7" s="7" t="s">
        <v>48</v>
      </c>
      <c r="M7" s="7"/>
      <c r="N7" s="7" t="str">
        <f aca="false">IF(AND(LEFT(J7,4)="Pass",LEFT(L7,4)="Pass"),"Closed","Open")</f>
        <v>Closed</v>
      </c>
    </row>
    <row r="8" customFormat="false" ht="35.05" hidden="false" customHeight="false" outlineLevel="0" collapsed="false">
      <c r="A8" s="7" t="s">
        <v>62</v>
      </c>
      <c r="B8" s="8" t="s">
        <v>63</v>
      </c>
      <c r="C8" s="7" t="s">
        <v>41</v>
      </c>
      <c r="D8" s="7" t="s">
        <v>79</v>
      </c>
      <c r="E8" s="8" t="s">
        <v>80</v>
      </c>
      <c r="F8" s="7" t="s">
        <v>81</v>
      </c>
      <c r="G8" s="7" t="s">
        <v>67</v>
      </c>
      <c r="H8" s="7" t="s">
        <v>82</v>
      </c>
      <c r="I8" s="8" t="s">
        <v>69</v>
      </c>
      <c r="J8" s="7" t="s">
        <v>48</v>
      </c>
      <c r="K8" s="7" t="s">
        <v>70</v>
      </c>
      <c r="L8" s="7" t="s">
        <v>48</v>
      </c>
      <c r="M8" s="7"/>
      <c r="N8" s="7" t="str">
        <f aca="false">IF(AND(LEFT(J8,4)="Pass",LEFT(L8,4)="Pass"),"Closed","Open")</f>
        <v>Closed</v>
      </c>
    </row>
    <row r="9" customFormat="false" ht="35.05" hidden="false" customHeight="false" outlineLevel="0" collapsed="false">
      <c r="A9" s="7" t="s">
        <v>62</v>
      </c>
      <c r="B9" s="8" t="s">
        <v>63</v>
      </c>
      <c r="C9" s="7" t="s">
        <v>41</v>
      </c>
      <c r="D9" s="7" t="s">
        <v>83</v>
      </c>
      <c r="E9" s="8" t="s">
        <v>84</v>
      </c>
      <c r="F9" s="7" t="s">
        <v>85</v>
      </c>
      <c r="G9" s="7" t="s">
        <v>67</v>
      </c>
      <c r="H9" s="7" t="s">
        <v>86</v>
      </c>
      <c r="I9" s="8" t="s">
        <v>69</v>
      </c>
      <c r="J9" s="7" t="s">
        <v>48</v>
      </c>
      <c r="K9" s="7" t="s">
        <v>70</v>
      </c>
      <c r="L9" s="7" t="s">
        <v>48</v>
      </c>
      <c r="M9" s="7"/>
      <c r="N9" s="7" t="str">
        <f aca="false">IF(AND(LEFT(J9,4)="Pass",LEFT(L9,4)="Pass"),"Closed","Open")</f>
        <v>Closed</v>
      </c>
    </row>
    <row r="10" customFormat="false" ht="35.05" hidden="false" customHeight="false" outlineLevel="0" collapsed="false">
      <c r="A10" s="7" t="s">
        <v>62</v>
      </c>
      <c r="B10" s="8" t="s">
        <v>63</v>
      </c>
      <c r="C10" s="7" t="s">
        <v>41</v>
      </c>
      <c r="D10" s="7" t="s">
        <v>87</v>
      </c>
      <c r="E10" s="8" t="s">
        <v>88</v>
      </c>
      <c r="F10" s="7" t="s">
        <v>89</v>
      </c>
      <c r="G10" s="7" t="s">
        <v>67</v>
      </c>
      <c r="H10" s="7" t="s">
        <v>90</v>
      </c>
      <c r="I10" s="8" t="s">
        <v>91</v>
      </c>
      <c r="J10" s="7" t="s">
        <v>48</v>
      </c>
      <c r="K10" s="7" t="s">
        <v>70</v>
      </c>
      <c r="L10" s="7" t="s">
        <v>48</v>
      </c>
      <c r="M10" s="7"/>
      <c r="N10" s="7" t="str">
        <f aca="false">IF(AND(LEFT(J10,4)="Pass",LEFT(L10,4)="Pass"),"Closed","Open")</f>
        <v>Closed</v>
      </c>
    </row>
    <row r="11" customFormat="false" ht="23.85" hidden="false" customHeight="false" outlineLevel="0" collapsed="false">
      <c r="A11" s="5" t="s">
        <v>92</v>
      </c>
      <c r="B11" s="6" t="s">
        <v>93</v>
      </c>
      <c r="C11" s="5" t="s">
        <v>41</v>
      </c>
      <c r="D11" s="5" t="s">
        <v>94</v>
      </c>
      <c r="E11" s="6" t="s">
        <v>95</v>
      </c>
      <c r="F11" s="5" t="s">
        <v>96</v>
      </c>
      <c r="G11" s="5" t="s">
        <v>45</v>
      </c>
      <c r="H11" s="5" t="s">
        <v>97</v>
      </c>
      <c r="I11" s="6" t="s">
        <v>47</v>
      </c>
      <c r="J11" s="5" t="s">
        <v>48</v>
      </c>
      <c r="K11" s="5" t="s">
        <v>98</v>
      </c>
      <c r="L11" s="5" t="s">
        <v>48</v>
      </c>
      <c r="M11" s="5"/>
      <c r="N11" s="5" t="str">
        <f aca="false">IF(AND(LEFT(J11,4)="Pass",LEFT(L11,4)="Pass"),"Closed","Open")</f>
        <v>Closed</v>
      </c>
    </row>
    <row r="12" customFormat="false" ht="23.85" hidden="false" customHeight="false" outlineLevel="0" collapsed="false">
      <c r="A12" s="5" t="s">
        <v>92</v>
      </c>
      <c r="B12" s="6" t="s">
        <v>93</v>
      </c>
      <c r="C12" s="5" t="s">
        <v>41</v>
      </c>
      <c r="D12" s="5" t="s">
        <v>99</v>
      </c>
      <c r="E12" s="6" t="s">
        <v>100</v>
      </c>
      <c r="F12" s="5" t="s">
        <v>96</v>
      </c>
      <c r="G12" s="5" t="s">
        <v>101</v>
      </c>
      <c r="H12" s="5" t="s">
        <v>102</v>
      </c>
      <c r="I12" s="6" t="s">
        <v>47</v>
      </c>
      <c r="J12" s="5" t="s">
        <v>48</v>
      </c>
      <c r="K12" s="5" t="s">
        <v>98</v>
      </c>
      <c r="L12" s="5" t="s">
        <v>48</v>
      </c>
      <c r="M12" s="5"/>
      <c r="N12" s="5" t="str">
        <f aca="false">IF(AND(LEFT(J12,4)="Pass",LEFT(L12,4)="Pass"),"Closed","Open")</f>
        <v>Closed</v>
      </c>
    </row>
    <row r="13" customFormat="false" ht="23.85" hidden="false" customHeight="false" outlineLevel="0" collapsed="false">
      <c r="A13" s="5" t="s">
        <v>92</v>
      </c>
      <c r="B13" s="6" t="s">
        <v>93</v>
      </c>
      <c r="C13" s="5" t="s">
        <v>41</v>
      </c>
      <c r="D13" s="5" t="s">
        <v>103</v>
      </c>
      <c r="E13" s="6" t="s">
        <v>104</v>
      </c>
      <c r="F13" s="5" t="s">
        <v>96</v>
      </c>
      <c r="G13" s="5" t="s">
        <v>101</v>
      </c>
      <c r="H13" s="5" t="s">
        <v>105</v>
      </c>
      <c r="I13" s="6" t="s">
        <v>106</v>
      </c>
      <c r="J13" s="5" t="s">
        <v>48</v>
      </c>
      <c r="K13" s="5" t="s">
        <v>98</v>
      </c>
      <c r="L13" s="5" t="s">
        <v>48</v>
      </c>
      <c r="M13" s="5"/>
      <c r="N13" s="5" t="str">
        <f aca="false">IF(AND(LEFT(J13,4)="Pass",LEFT(L13,4)="Pass"),"Closed","Open")</f>
        <v>Closed</v>
      </c>
    </row>
    <row r="14" customFormat="false" ht="23.85" hidden="false" customHeight="false" outlineLevel="0" collapsed="false">
      <c r="A14" s="7" t="s">
        <v>107</v>
      </c>
      <c r="B14" s="8" t="s">
        <v>108</v>
      </c>
      <c r="C14" s="7" t="s">
        <v>41</v>
      </c>
      <c r="D14" s="7" t="s">
        <v>109</v>
      </c>
      <c r="E14" s="8" t="s">
        <v>110</v>
      </c>
      <c r="F14" s="7" t="s">
        <v>111</v>
      </c>
      <c r="G14" s="7" t="s">
        <v>112</v>
      </c>
      <c r="H14" s="7" t="s">
        <v>113</v>
      </c>
      <c r="I14" s="8" t="s">
        <v>47</v>
      </c>
      <c r="J14" s="7" t="s">
        <v>48</v>
      </c>
      <c r="K14" s="7" t="s">
        <v>114</v>
      </c>
      <c r="L14" s="7" t="s">
        <v>48</v>
      </c>
      <c r="M14" s="7"/>
      <c r="N14" s="7" t="str">
        <f aca="false">IF(AND(LEFT(J14,4)="Pass",LEFT(L14,4)="Pass"),"Closed","Open")</f>
        <v>Closed</v>
      </c>
    </row>
    <row r="15" customFormat="false" ht="23.85" hidden="false" customHeight="false" outlineLevel="0" collapsed="false">
      <c r="A15" s="7" t="s">
        <v>107</v>
      </c>
      <c r="B15" s="8" t="s">
        <v>108</v>
      </c>
      <c r="C15" s="7" t="s">
        <v>41</v>
      </c>
      <c r="D15" s="7" t="s">
        <v>115</v>
      </c>
      <c r="E15" s="8" t="s">
        <v>116</v>
      </c>
      <c r="F15" s="7" t="s">
        <v>111</v>
      </c>
      <c r="G15" s="7" t="s">
        <v>112</v>
      </c>
      <c r="H15" s="7" t="s">
        <v>117</v>
      </c>
      <c r="I15" s="8" t="s">
        <v>47</v>
      </c>
      <c r="J15" s="7" t="s">
        <v>48</v>
      </c>
      <c r="K15" s="7" t="s">
        <v>114</v>
      </c>
      <c r="L15" s="7" t="s">
        <v>48</v>
      </c>
      <c r="M15" s="7"/>
      <c r="N15" s="7" t="str">
        <f aca="false">IF(AND(LEFT(J15,4)="Pass",LEFT(L15,4)="Pass"),"Closed","Open")</f>
        <v>Closed</v>
      </c>
    </row>
    <row r="16" customFormat="false" ht="23.85" hidden="false" customHeight="false" outlineLevel="0" collapsed="false">
      <c r="A16" s="7" t="s">
        <v>107</v>
      </c>
      <c r="B16" s="8" t="s">
        <v>108</v>
      </c>
      <c r="C16" s="7" t="s">
        <v>41</v>
      </c>
      <c r="D16" s="7" t="s">
        <v>118</v>
      </c>
      <c r="E16" s="8" t="s">
        <v>119</v>
      </c>
      <c r="F16" s="7" t="s">
        <v>120</v>
      </c>
      <c r="G16" s="7" t="s">
        <v>121</v>
      </c>
      <c r="H16" s="7" t="s">
        <v>122</v>
      </c>
      <c r="I16" s="8" t="s">
        <v>106</v>
      </c>
      <c r="J16" s="7" t="s">
        <v>48</v>
      </c>
      <c r="K16" s="7" t="s">
        <v>114</v>
      </c>
      <c r="L16" s="7" t="s">
        <v>48</v>
      </c>
      <c r="M16" s="7"/>
      <c r="N16" s="7" t="str">
        <f aca="false">IF(AND(LEFT(J16,4)="Pass",LEFT(L16,4)="Pass"),"Closed","Open")</f>
        <v>Closed</v>
      </c>
    </row>
    <row r="17" customFormat="false" ht="23.85" hidden="false" customHeight="false" outlineLevel="0" collapsed="false">
      <c r="A17" s="7" t="s">
        <v>107</v>
      </c>
      <c r="B17" s="8" t="s">
        <v>108</v>
      </c>
      <c r="C17" s="7" t="s">
        <v>41</v>
      </c>
      <c r="D17" s="7" t="s">
        <v>123</v>
      </c>
      <c r="E17" s="8" t="s">
        <v>124</v>
      </c>
      <c r="F17" s="7" t="s">
        <v>120</v>
      </c>
      <c r="G17" s="7" t="s">
        <v>121</v>
      </c>
      <c r="H17" s="7" t="s">
        <v>125</v>
      </c>
      <c r="I17" s="8" t="s">
        <v>47</v>
      </c>
      <c r="J17" s="7" t="s">
        <v>48</v>
      </c>
      <c r="K17" s="7" t="s">
        <v>114</v>
      </c>
      <c r="L17" s="7" t="s">
        <v>48</v>
      </c>
      <c r="M17" s="7"/>
      <c r="N17" s="7" t="str">
        <f aca="false">IF(AND(LEFT(J17,4)="Pass",LEFT(L17,4)="Pass"),"Closed","Open")</f>
        <v>Closed</v>
      </c>
    </row>
    <row r="18" customFormat="false" ht="23.85" hidden="false" customHeight="false" outlineLevel="0" collapsed="false">
      <c r="A18" s="7" t="s">
        <v>107</v>
      </c>
      <c r="B18" s="8" t="s">
        <v>108</v>
      </c>
      <c r="C18" s="7" t="s">
        <v>41</v>
      </c>
      <c r="D18" s="7" t="s">
        <v>126</v>
      </c>
      <c r="E18" s="8" t="s">
        <v>127</v>
      </c>
      <c r="F18" s="7" t="s">
        <v>120</v>
      </c>
      <c r="G18" s="7" t="s">
        <v>121</v>
      </c>
      <c r="H18" s="7" t="s">
        <v>128</v>
      </c>
      <c r="I18" s="8" t="s">
        <v>129</v>
      </c>
      <c r="J18" s="7" t="s">
        <v>48</v>
      </c>
      <c r="K18" s="7" t="s">
        <v>114</v>
      </c>
      <c r="L18" s="7" t="s">
        <v>48</v>
      </c>
      <c r="M18" s="7"/>
      <c r="N18" s="7" t="str">
        <f aca="false">IF(AND(LEFT(J18,4)="Pass",LEFT(L18,4)="Pass"),"Closed","Open")</f>
        <v>Closed</v>
      </c>
    </row>
    <row r="19" customFormat="false" ht="23.85" hidden="false" customHeight="false" outlineLevel="0" collapsed="false">
      <c r="A19" s="7" t="s">
        <v>107</v>
      </c>
      <c r="B19" s="8" t="s">
        <v>108</v>
      </c>
      <c r="C19" s="7" t="s">
        <v>41</v>
      </c>
      <c r="D19" s="7" t="s">
        <v>130</v>
      </c>
      <c r="E19" s="8" t="s">
        <v>131</v>
      </c>
      <c r="F19" s="7" t="s">
        <v>120</v>
      </c>
      <c r="G19" s="7" t="s">
        <v>112</v>
      </c>
      <c r="H19" s="7" t="s">
        <v>132</v>
      </c>
      <c r="I19" s="8" t="s">
        <v>129</v>
      </c>
      <c r="J19" s="7" t="s">
        <v>48</v>
      </c>
      <c r="K19" s="7" t="s">
        <v>114</v>
      </c>
      <c r="L19" s="7" t="s">
        <v>48</v>
      </c>
      <c r="M19" s="7"/>
      <c r="N19" s="7" t="str">
        <f aca="false">IF(AND(LEFT(J19,4)="Pass",LEFT(L19,4)="Pass"),"Closed","Open")</f>
        <v>Closed</v>
      </c>
    </row>
    <row r="20" customFormat="false" ht="23.85" hidden="false" customHeight="false" outlineLevel="0" collapsed="false">
      <c r="A20" s="7" t="s">
        <v>107</v>
      </c>
      <c r="B20" s="8" t="s">
        <v>108</v>
      </c>
      <c r="C20" s="7" t="s">
        <v>41</v>
      </c>
      <c r="D20" s="7" t="s">
        <v>133</v>
      </c>
      <c r="E20" s="8" t="s">
        <v>134</v>
      </c>
      <c r="F20" s="7" t="s">
        <v>120</v>
      </c>
      <c r="G20" s="7" t="s">
        <v>135</v>
      </c>
      <c r="H20" s="7" t="s">
        <v>136</v>
      </c>
      <c r="I20" s="8" t="s">
        <v>47</v>
      </c>
      <c r="J20" s="7" t="s">
        <v>48</v>
      </c>
      <c r="K20" s="7" t="s">
        <v>114</v>
      </c>
      <c r="L20" s="7" t="s">
        <v>48</v>
      </c>
      <c r="M20" s="7"/>
      <c r="N20" s="7" t="str">
        <f aca="false">IF(AND(LEFT(J20,4)="Pass",LEFT(L20,4)="Pass"),"Closed","Open")</f>
        <v>Closed</v>
      </c>
    </row>
    <row r="21" customFormat="false" ht="23.85" hidden="false" customHeight="false" outlineLevel="0" collapsed="false">
      <c r="A21" s="7" t="s">
        <v>107</v>
      </c>
      <c r="B21" s="8" t="s">
        <v>108</v>
      </c>
      <c r="C21" s="7" t="s">
        <v>41</v>
      </c>
      <c r="D21" s="7" t="s">
        <v>137</v>
      </c>
      <c r="E21" s="8" t="s">
        <v>138</v>
      </c>
      <c r="F21" s="7" t="s">
        <v>120</v>
      </c>
      <c r="G21" s="7" t="s">
        <v>135</v>
      </c>
      <c r="H21" s="7" t="s">
        <v>139</v>
      </c>
      <c r="I21" s="8" t="s">
        <v>47</v>
      </c>
      <c r="J21" s="7" t="s">
        <v>48</v>
      </c>
      <c r="K21" s="7" t="s">
        <v>114</v>
      </c>
      <c r="L21" s="7" t="s">
        <v>48</v>
      </c>
      <c r="M21" s="7"/>
      <c r="N21" s="7" t="str">
        <f aca="false">IF(AND(LEFT(J21,4)="Pass",LEFT(L21,4)="Pass"),"Closed","Open")</f>
        <v>Closed</v>
      </c>
    </row>
    <row r="22" customFormat="false" ht="23.85" hidden="false" customHeight="false" outlineLevel="0" collapsed="false">
      <c r="A22" s="7" t="s">
        <v>107</v>
      </c>
      <c r="B22" s="8" t="s">
        <v>108</v>
      </c>
      <c r="C22" s="7" t="s">
        <v>41</v>
      </c>
      <c r="D22" s="7" t="s">
        <v>140</v>
      </c>
      <c r="E22" s="8" t="s">
        <v>141</v>
      </c>
      <c r="F22" s="7" t="s">
        <v>142</v>
      </c>
      <c r="G22" s="7" t="s">
        <v>143</v>
      </c>
      <c r="H22" s="7" t="s">
        <v>144</v>
      </c>
      <c r="I22" s="8" t="s">
        <v>145</v>
      </c>
      <c r="J22" s="7" t="s">
        <v>48</v>
      </c>
      <c r="K22" s="7" t="s">
        <v>146</v>
      </c>
      <c r="L22" s="7" t="s">
        <v>48</v>
      </c>
      <c r="M22" s="7"/>
      <c r="N22" s="7" t="str">
        <f aca="false">IF(AND(LEFT(J22,4)="Pass",LEFT(L22,4)="Pass"),"Closed","Open")</f>
        <v>Closed</v>
      </c>
    </row>
    <row r="23" customFormat="false" ht="23.85" hidden="false" customHeight="false" outlineLevel="0" collapsed="false">
      <c r="A23" s="5" t="s">
        <v>147</v>
      </c>
      <c r="B23" s="6" t="s">
        <v>148</v>
      </c>
      <c r="C23" s="5" t="s">
        <v>41</v>
      </c>
      <c r="D23" s="5" t="s">
        <v>149</v>
      </c>
      <c r="E23" s="6" t="s">
        <v>150</v>
      </c>
      <c r="F23" s="5" t="s">
        <v>44</v>
      </c>
      <c r="G23" s="5" t="s">
        <v>151</v>
      </c>
      <c r="H23" s="5" t="s">
        <v>152</v>
      </c>
      <c r="I23" s="6" t="s">
        <v>47</v>
      </c>
      <c r="J23" s="5" t="s">
        <v>48</v>
      </c>
      <c r="K23" s="5" t="s">
        <v>153</v>
      </c>
      <c r="L23" s="5" t="s">
        <v>48</v>
      </c>
      <c r="M23" s="5"/>
      <c r="N23" s="5" t="str">
        <f aca="false">IF(AND(LEFT(J23,4)="Pass",LEFT(L23,4)="Pass"),"Closed","Open")</f>
        <v>Closed</v>
      </c>
    </row>
    <row r="24" customFormat="false" ht="23.85" hidden="false" customHeight="false" outlineLevel="0" collapsed="false">
      <c r="A24" s="5" t="s">
        <v>147</v>
      </c>
      <c r="B24" s="6" t="s">
        <v>148</v>
      </c>
      <c r="C24" s="5" t="s">
        <v>41</v>
      </c>
      <c r="D24" s="5" t="s">
        <v>154</v>
      </c>
      <c r="E24" s="6" t="s">
        <v>155</v>
      </c>
      <c r="F24" s="5" t="s">
        <v>156</v>
      </c>
      <c r="G24" s="5" t="s">
        <v>157</v>
      </c>
      <c r="H24" s="5" t="s">
        <v>158</v>
      </c>
      <c r="I24" s="6" t="s">
        <v>47</v>
      </c>
      <c r="J24" s="5" t="s">
        <v>48</v>
      </c>
      <c r="K24" s="5" t="s">
        <v>153</v>
      </c>
      <c r="L24" s="5" t="s">
        <v>48</v>
      </c>
      <c r="M24" s="5"/>
      <c r="N24" s="5" t="str">
        <f aca="false">IF(AND(LEFT(J24,4)="Pass",LEFT(L24,4)="Pass"),"Closed","Open")</f>
        <v>Closed</v>
      </c>
    </row>
    <row r="25" customFormat="false" ht="23.85" hidden="false" customHeight="false" outlineLevel="0" collapsed="false">
      <c r="A25" s="7" t="s">
        <v>159</v>
      </c>
      <c r="B25" s="8" t="s">
        <v>160</v>
      </c>
      <c r="C25" s="7" t="s">
        <v>41</v>
      </c>
      <c r="D25" s="7" t="s">
        <v>161</v>
      </c>
      <c r="E25" s="8" t="s">
        <v>162</v>
      </c>
      <c r="F25" s="7" t="s">
        <v>163</v>
      </c>
      <c r="G25" s="7" t="s">
        <v>164</v>
      </c>
      <c r="H25" s="7" t="s">
        <v>165</v>
      </c>
      <c r="I25" s="8" t="s">
        <v>47</v>
      </c>
      <c r="J25" s="7" t="s">
        <v>48</v>
      </c>
      <c r="K25" s="7" t="s">
        <v>61</v>
      </c>
      <c r="L25" s="7" t="s">
        <v>48</v>
      </c>
      <c r="M25" s="7"/>
      <c r="N25" s="7" t="str">
        <f aca="false">IF(AND(LEFT(J25,4)="Pass",LEFT(L25,4)="Pass"),"Closed","Open")</f>
        <v>Closed</v>
      </c>
    </row>
    <row r="26" customFormat="false" ht="23.85" hidden="false" customHeight="false" outlineLevel="0" collapsed="false">
      <c r="A26" s="7" t="s">
        <v>159</v>
      </c>
      <c r="B26" s="8" t="s">
        <v>160</v>
      </c>
      <c r="C26" s="7" t="s">
        <v>41</v>
      </c>
      <c r="D26" s="7" t="s">
        <v>166</v>
      </c>
      <c r="E26" s="8" t="s">
        <v>167</v>
      </c>
      <c r="F26" s="7" t="s">
        <v>58</v>
      </c>
      <c r="G26" s="7" t="s">
        <v>168</v>
      </c>
      <c r="H26" s="7" t="s">
        <v>169</v>
      </c>
      <c r="I26" s="8" t="s">
        <v>170</v>
      </c>
      <c r="J26" s="7" t="s">
        <v>48</v>
      </c>
      <c r="K26" s="7" t="s">
        <v>61</v>
      </c>
      <c r="L26" s="7" t="s">
        <v>48</v>
      </c>
      <c r="M26" s="7"/>
      <c r="N26" s="7" t="str">
        <f aca="false">IF(AND(LEFT(J26,4)="Pass",LEFT(L26,4)="Pass"),"Closed","Open")</f>
        <v>Closed</v>
      </c>
    </row>
    <row r="27" customFormat="false" ht="23.85" hidden="false" customHeight="false" outlineLevel="0" collapsed="false">
      <c r="A27" s="7" t="s">
        <v>159</v>
      </c>
      <c r="B27" s="8" t="s">
        <v>160</v>
      </c>
      <c r="C27" s="7" t="s">
        <v>41</v>
      </c>
      <c r="D27" s="7" t="s">
        <v>171</v>
      </c>
      <c r="E27" s="8" t="s">
        <v>172</v>
      </c>
      <c r="F27" s="7" t="s">
        <v>58</v>
      </c>
      <c r="G27" s="7" t="s">
        <v>173</v>
      </c>
      <c r="H27" s="7" t="s">
        <v>174</v>
      </c>
      <c r="I27" s="8" t="s">
        <v>170</v>
      </c>
      <c r="J27" s="7" t="s">
        <v>48</v>
      </c>
      <c r="K27" s="7" t="s">
        <v>61</v>
      </c>
      <c r="L27" s="7" t="s">
        <v>48</v>
      </c>
      <c r="M27" s="7"/>
      <c r="N27" s="7" t="str">
        <f aca="false">IF(AND(LEFT(J27,4)="Pass",LEFT(L27,4)="Pass"),"Closed","Open")</f>
        <v>Closed</v>
      </c>
    </row>
    <row r="28" customFormat="false" ht="23.85" hidden="false" customHeight="false" outlineLevel="0" collapsed="false">
      <c r="A28" s="5" t="s">
        <v>175</v>
      </c>
      <c r="B28" s="6" t="s">
        <v>176</v>
      </c>
      <c r="C28" s="5" t="s">
        <v>41</v>
      </c>
      <c r="D28" s="5" t="s">
        <v>177</v>
      </c>
      <c r="E28" s="6" t="s">
        <v>178</v>
      </c>
      <c r="F28" s="5" t="s">
        <v>58</v>
      </c>
      <c r="G28" s="5" t="s">
        <v>179</v>
      </c>
      <c r="H28" s="5" t="s">
        <v>180</v>
      </c>
      <c r="I28" s="6" t="s">
        <v>47</v>
      </c>
      <c r="J28" s="5" t="s">
        <v>48</v>
      </c>
      <c r="K28" s="5" t="s">
        <v>181</v>
      </c>
      <c r="L28" s="5" t="s">
        <v>48</v>
      </c>
      <c r="M28" s="5"/>
      <c r="N28" s="5" t="str">
        <f aca="false">IF(AND(LEFT(J28,4)="Pass",LEFT(L28,4)="Pass"),"Closed","Open")</f>
        <v>Closed</v>
      </c>
    </row>
    <row r="29" customFormat="false" ht="23.85" hidden="false" customHeight="false" outlineLevel="0" collapsed="false">
      <c r="A29" s="5" t="s">
        <v>175</v>
      </c>
      <c r="B29" s="6" t="s">
        <v>176</v>
      </c>
      <c r="C29" s="5" t="s">
        <v>41</v>
      </c>
      <c r="D29" s="5" t="s">
        <v>182</v>
      </c>
      <c r="E29" s="6" t="s">
        <v>183</v>
      </c>
      <c r="F29" s="5" t="s">
        <v>184</v>
      </c>
      <c r="G29" s="5" t="s">
        <v>179</v>
      </c>
      <c r="H29" s="5" t="s">
        <v>185</v>
      </c>
      <c r="I29" s="6" t="s">
        <v>47</v>
      </c>
      <c r="J29" s="5" t="s">
        <v>48</v>
      </c>
      <c r="K29" s="5" t="s">
        <v>181</v>
      </c>
      <c r="L29" s="5" t="s">
        <v>48</v>
      </c>
      <c r="M29" s="5"/>
      <c r="N29" s="5" t="str">
        <f aca="false">IF(AND(LEFT(J29,4)="Pass",LEFT(L29,4)="Pass"),"Closed","Open")</f>
        <v>Closed</v>
      </c>
    </row>
    <row r="30" customFormat="false" ht="23.85" hidden="false" customHeight="false" outlineLevel="0" collapsed="false">
      <c r="A30" s="5" t="s">
        <v>175</v>
      </c>
      <c r="B30" s="6" t="s">
        <v>176</v>
      </c>
      <c r="C30" s="5" t="s">
        <v>41</v>
      </c>
      <c r="D30" s="5" t="s">
        <v>186</v>
      </c>
      <c r="E30" s="6" t="s">
        <v>187</v>
      </c>
      <c r="F30" s="5" t="s">
        <v>184</v>
      </c>
      <c r="G30" s="5" t="s">
        <v>188</v>
      </c>
      <c r="H30" s="5" t="s">
        <v>189</v>
      </c>
      <c r="I30" s="6" t="s">
        <v>47</v>
      </c>
      <c r="J30" s="5" t="s">
        <v>48</v>
      </c>
      <c r="K30" s="5" t="s">
        <v>181</v>
      </c>
      <c r="L30" s="5" t="s">
        <v>48</v>
      </c>
      <c r="M30" s="5"/>
      <c r="N30" s="5" t="str">
        <f aca="false">IF(AND(LEFT(J30,4)="Pass",LEFT(L30,4)="Pass"),"Closed","Open")</f>
        <v>Closed</v>
      </c>
    </row>
    <row r="31" customFormat="false" ht="23.85" hidden="false" customHeight="false" outlineLevel="0" collapsed="false">
      <c r="A31" s="5" t="s">
        <v>175</v>
      </c>
      <c r="B31" s="6" t="s">
        <v>176</v>
      </c>
      <c r="C31" s="5" t="s">
        <v>41</v>
      </c>
      <c r="D31" s="5" t="s">
        <v>190</v>
      </c>
      <c r="E31" s="6" t="s">
        <v>191</v>
      </c>
      <c r="F31" s="5" t="s">
        <v>192</v>
      </c>
      <c r="G31" s="5" t="s">
        <v>188</v>
      </c>
      <c r="H31" s="5" t="s">
        <v>193</v>
      </c>
      <c r="I31" s="6" t="s">
        <v>129</v>
      </c>
      <c r="J31" s="5" t="s">
        <v>48</v>
      </c>
      <c r="K31" s="5" t="s">
        <v>181</v>
      </c>
      <c r="L31" s="5" t="s">
        <v>48</v>
      </c>
      <c r="M31" s="5"/>
      <c r="N31" s="5" t="str">
        <f aca="false">IF(AND(LEFT(J31,4)="Pass",LEFT(L31,4)="Pass"),"Closed","Open")</f>
        <v>Closed</v>
      </c>
    </row>
    <row r="32" customFormat="false" ht="23.85" hidden="false" customHeight="false" outlineLevel="0" collapsed="false">
      <c r="A32" s="5" t="s">
        <v>175</v>
      </c>
      <c r="B32" s="6" t="s">
        <v>176</v>
      </c>
      <c r="C32" s="5" t="s">
        <v>41</v>
      </c>
      <c r="D32" s="5" t="s">
        <v>194</v>
      </c>
      <c r="E32" s="6" t="s">
        <v>195</v>
      </c>
      <c r="F32" s="5" t="s">
        <v>196</v>
      </c>
      <c r="G32" s="5" t="s">
        <v>179</v>
      </c>
      <c r="H32" s="5" t="s">
        <v>197</v>
      </c>
      <c r="I32" s="6" t="s">
        <v>129</v>
      </c>
      <c r="J32" s="5" t="s">
        <v>48</v>
      </c>
      <c r="K32" s="5" t="s">
        <v>181</v>
      </c>
      <c r="L32" s="5" t="s">
        <v>48</v>
      </c>
      <c r="M32" s="5"/>
      <c r="N32" s="5" t="str">
        <f aca="false">IF(AND(LEFT(J32,4)="Pass",LEFT(L32,4)="Pass"),"Closed","Open")</f>
        <v>Closed</v>
      </c>
    </row>
    <row r="33" customFormat="false" ht="23.85" hidden="false" customHeight="false" outlineLevel="0" collapsed="false">
      <c r="A33" s="5" t="s">
        <v>175</v>
      </c>
      <c r="B33" s="6" t="s">
        <v>176</v>
      </c>
      <c r="C33" s="5" t="s">
        <v>41</v>
      </c>
      <c r="D33" s="5" t="s">
        <v>198</v>
      </c>
      <c r="E33" s="6" t="s">
        <v>199</v>
      </c>
      <c r="F33" s="5" t="s">
        <v>184</v>
      </c>
      <c r="G33" s="5" t="s">
        <v>200</v>
      </c>
      <c r="H33" s="5" t="s">
        <v>201</v>
      </c>
      <c r="I33" s="6" t="s">
        <v>47</v>
      </c>
      <c r="J33" s="5" t="s">
        <v>48</v>
      </c>
      <c r="K33" s="5" t="s">
        <v>181</v>
      </c>
      <c r="L33" s="5" t="s">
        <v>48</v>
      </c>
      <c r="M33" s="5"/>
      <c r="N33" s="5" t="str">
        <f aca="false">IF(AND(LEFT(J33,4)="Pass",LEFT(L33,4)="Pass"),"Closed","Open")</f>
        <v>Closed</v>
      </c>
    </row>
    <row r="34" customFormat="false" ht="23.85" hidden="false" customHeight="false" outlineLevel="0" collapsed="false">
      <c r="A34" s="5" t="s">
        <v>175</v>
      </c>
      <c r="B34" s="6" t="s">
        <v>176</v>
      </c>
      <c r="C34" s="5" t="s">
        <v>41</v>
      </c>
      <c r="D34" s="5" t="s">
        <v>202</v>
      </c>
      <c r="E34" s="6" t="s">
        <v>203</v>
      </c>
      <c r="F34" s="5" t="s">
        <v>184</v>
      </c>
      <c r="G34" s="5" t="s">
        <v>204</v>
      </c>
      <c r="H34" s="5" t="s">
        <v>205</v>
      </c>
      <c r="I34" s="6" t="s">
        <v>47</v>
      </c>
      <c r="J34" s="5" t="s">
        <v>48</v>
      </c>
      <c r="K34" s="5" t="s">
        <v>181</v>
      </c>
      <c r="L34" s="5" t="s">
        <v>48</v>
      </c>
      <c r="M34" s="5"/>
      <c r="N34" s="5" t="str">
        <f aca="false">IF(AND(LEFT(J34,4)="Pass",LEFT(L34,4)="Pass"),"Closed","Open")</f>
        <v>Closed</v>
      </c>
    </row>
    <row r="35" customFormat="false" ht="23.85" hidden="false" customHeight="false" outlineLevel="0" collapsed="false">
      <c r="A35" s="7" t="s">
        <v>206</v>
      </c>
      <c r="B35" s="8" t="s">
        <v>207</v>
      </c>
      <c r="C35" s="7" t="s">
        <v>41</v>
      </c>
      <c r="D35" s="7" t="s">
        <v>208</v>
      </c>
      <c r="E35" s="8" t="s">
        <v>209</v>
      </c>
      <c r="F35" s="7" t="s">
        <v>210</v>
      </c>
      <c r="G35" s="7" t="s">
        <v>211</v>
      </c>
      <c r="H35" s="7" t="s">
        <v>212</v>
      </c>
      <c r="I35" s="8" t="s">
        <v>213</v>
      </c>
      <c r="J35" s="7" t="s">
        <v>48</v>
      </c>
      <c r="K35" s="7" t="s">
        <v>214</v>
      </c>
      <c r="L35" s="7" t="s">
        <v>48</v>
      </c>
      <c r="M35" s="7"/>
      <c r="N35" s="7" t="str">
        <f aca="false">IF(AND(LEFT(J35,4)="Pass",LEFT(L35,4)="Pass"),"Closed","Open")</f>
        <v>Closed</v>
      </c>
    </row>
    <row r="36" customFormat="false" ht="23.85" hidden="false" customHeight="false" outlineLevel="0" collapsed="false">
      <c r="A36" s="7" t="s">
        <v>206</v>
      </c>
      <c r="B36" s="8" t="s">
        <v>207</v>
      </c>
      <c r="C36" s="7" t="s">
        <v>41</v>
      </c>
      <c r="D36" s="7" t="s">
        <v>215</v>
      </c>
      <c r="E36" s="8" t="s">
        <v>216</v>
      </c>
      <c r="F36" s="7" t="s">
        <v>210</v>
      </c>
      <c r="G36" s="7" t="s">
        <v>217</v>
      </c>
      <c r="H36" s="7" t="s">
        <v>218</v>
      </c>
      <c r="I36" s="8" t="s">
        <v>47</v>
      </c>
      <c r="J36" s="7" t="s">
        <v>48</v>
      </c>
      <c r="K36" s="7" t="s">
        <v>214</v>
      </c>
      <c r="L36" s="7" t="s">
        <v>48</v>
      </c>
      <c r="M36" s="7"/>
      <c r="N36" s="7" t="str">
        <f aca="false">IF(AND(LEFT(J36,4)="Pass",LEFT(L36,4)="Pass"),"Closed","Open")</f>
        <v>Closed</v>
      </c>
    </row>
    <row r="37" customFormat="false" ht="23.85" hidden="false" customHeight="false" outlineLevel="0" collapsed="false">
      <c r="A37" s="7" t="s">
        <v>206</v>
      </c>
      <c r="B37" s="8" t="s">
        <v>207</v>
      </c>
      <c r="C37" s="7" t="s">
        <v>41</v>
      </c>
      <c r="D37" s="7" t="s">
        <v>219</v>
      </c>
      <c r="E37" s="8" t="s">
        <v>220</v>
      </c>
      <c r="F37" s="7" t="s">
        <v>210</v>
      </c>
      <c r="G37" s="7" t="s">
        <v>217</v>
      </c>
      <c r="H37" s="7" t="s">
        <v>221</v>
      </c>
      <c r="I37" s="8" t="s">
        <v>47</v>
      </c>
      <c r="J37" s="7" t="s">
        <v>48</v>
      </c>
      <c r="K37" s="7" t="s">
        <v>214</v>
      </c>
      <c r="L37" s="7" t="s">
        <v>48</v>
      </c>
      <c r="M37" s="7"/>
      <c r="N37" s="7" t="str">
        <f aca="false">IF(AND(LEFT(J37,4)="Pass",LEFT(L37,4)="Pass"),"Closed","Open")</f>
        <v>Closed</v>
      </c>
    </row>
    <row r="38" customFormat="false" ht="23.85" hidden="false" customHeight="false" outlineLevel="0" collapsed="false">
      <c r="A38" s="7" t="s">
        <v>206</v>
      </c>
      <c r="B38" s="8" t="s">
        <v>207</v>
      </c>
      <c r="C38" s="7" t="s">
        <v>41</v>
      </c>
      <c r="D38" s="7" t="s">
        <v>222</v>
      </c>
      <c r="E38" s="8" t="s">
        <v>223</v>
      </c>
      <c r="F38" s="7" t="s">
        <v>210</v>
      </c>
      <c r="G38" s="7" t="s">
        <v>224</v>
      </c>
      <c r="H38" s="7" t="s">
        <v>225</v>
      </c>
      <c r="I38" s="8" t="s">
        <v>213</v>
      </c>
      <c r="J38" s="7" t="s">
        <v>48</v>
      </c>
      <c r="K38" s="7" t="s">
        <v>214</v>
      </c>
      <c r="L38" s="7" t="s">
        <v>48</v>
      </c>
      <c r="M38" s="7"/>
      <c r="N38" s="7" t="str">
        <f aca="false">IF(AND(LEFT(J38,4)="Pass",LEFT(L38,4)="Pass"),"Closed","Open")</f>
        <v>Closed</v>
      </c>
    </row>
    <row r="39" customFormat="false" ht="23.85" hidden="false" customHeight="false" outlineLevel="0" collapsed="false">
      <c r="A39" s="7" t="s">
        <v>206</v>
      </c>
      <c r="B39" s="8" t="s">
        <v>207</v>
      </c>
      <c r="C39" s="7" t="s">
        <v>41</v>
      </c>
      <c r="D39" s="7" t="s">
        <v>226</v>
      </c>
      <c r="E39" s="8" t="s">
        <v>227</v>
      </c>
      <c r="F39" s="7" t="s">
        <v>210</v>
      </c>
      <c r="G39" s="7" t="s">
        <v>211</v>
      </c>
      <c r="H39" s="7" t="s">
        <v>228</v>
      </c>
      <c r="I39" s="8" t="s">
        <v>47</v>
      </c>
      <c r="J39" s="7" t="s">
        <v>48</v>
      </c>
      <c r="K39" s="7" t="s">
        <v>214</v>
      </c>
      <c r="L39" s="7" t="s">
        <v>48</v>
      </c>
      <c r="M39" s="7"/>
      <c r="N39" s="7" t="str">
        <f aca="false">IF(AND(LEFT(J39,4)="Pass",LEFT(L39,4)="Pass"),"Closed","Open")</f>
        <v>Closed</v>
      </c>
    </row>
    <row r="40" customFormat="false" ht="23.85" hidden="false" customHeight="false" outlineLevel="0" collapsed="false">
      <c r="A40" s="7" t="s">
        <v>206</v>
      </c>
      <c r="B40" s="8" t="s">
        <v>207</v>
      </c>
      <c r="C40" s="7" t="s">
        <v>41</v>
      </c>
      <c r="D40" s="7" t="s">
        <v>229</v>
      </c>
      <c r="E40" s="8" t="s">
        <v>230</v>
      </c>
      <c r="F40" s="7" t="s">
        <v>210</v>
      </c>
      <c r="G40" s="7" t="s">
        <v>217</v>
      </c>
      <c r="H40" s="7" t="s">
        <v>231</v>
      </c>
      <c r="I40" s="8" t="s">
        <v>47</v>
      </c>
      <c r="J40" s="7" t="s">
        <v>48</v>
      </c>
      <c r="K40" s="7" t="s">
        <v>214</v>
      </c>
      <c r="L40" s="7" t="s">
        <v>232</v>
      </c>
      <c r="M40" s="7" t="s">
        <v>233</v>
      </c>
      <c r="N40" s="7" t="str">
        <f aca="false">IF(AND(LEFT(J40,4)="Pass",LEFT(L40,4)="Pass"),"Closed","Open")</f>
        <v>Closed</v>
      </c>
    </row>
    <row r="41" customFormat="false" ht="23.85" hidden="false" customHeight="false" outlineLevel="0" collapsed="false">
      <c r="A41" s="5" t="s">
        <v>234</v>
      </c>
      <c r="B41" s="6" t="s">
        <v>235</v>
      </c>
      <c r="C41" s="5" t="s">
        <v>41</v>
      </c>
      <c r="D41" s="5" t="s">
        <v>236</v>
      </c>
      <c r="E41" s="6" t="s">
        <v>237</v>
      </c>
      <c r="F41" s="5" t="s">
        <v>238</v>
      </c>
      <c r="G41" s="5" t="s">
        <v>239</v>
      </c>
      <c r="H41" s="5" t="s">
        <v>240</v>
      </c>
      <c r="I41" s="6" t="s">
        <v>47</v>
      </c>
      <c r="J41" s="5" t="s">
        <v>48</v>
      </c>
      <c r="K41" s="5" t="s">
        <v>241</v>
      </c>
      <c r="L41" s="5" t="s">
        <v>48</v>
      </c>
      <c r="M41" s="5"/>
      <c r="N41" s="5" t="str">
        <f aca="false">IF(AND(LEFT(J41,4)="Pass",LEFT(L41,4)="Pass"),"Closed","Open")</f>
        <v>Closed</v>
      </c>
    </row>
    <row r="42" customFormat="false" ht="23.85" hidden="false" customHeight="false" outlineLevel="0" collapsed="false">
      <c r="A42" s="5" t="s">
        <v>234</v>
      </c>
      <c r="B42" s="6" t="s">
        <v>235</v>
      </c>
      <c r="C42" s="5" t="s">
        <v>41</v>
      </c>
      <c r="D42" s="5" t="s">
        <v>242</v>
      </c>
      <c r="E42" s="6" t="s">
        <v>243</v>
      </c>
      <c r="F42" s="5" t="s">
        <v>238</v>
      </c>
      <c r="G42" s="5" t="s">
        <v>239</v>
      </c>
      <c r="H42" s="5" t="s">
        <v>244</v>
      </c>
      <c r="I42" s="6" t="s">
        <v>245</v>
      </c>
      <c r="J42" s="5" t="s">
        <v>48</v>
      </c>
      <c r="K42" s="5" t="s">
        <v>241</v>
      </c>
      <c r="L42" s="5" t="s">
        <v>48</v>
      </c>
      <c r="M42" s="5"/>
      <c r="N42" s="5" t="str">
        <f aca="false">IF(AND(LEFT(J42,4)="Pass",LEFT(L42,4)="Pass"),"Closed","Open")</f>
        <v>Closed</v>
      </c>
    </row>
    <row r="43" customFormat="false" ht="23.85" hidden="false" customHeight="false" outlineLevel="0" collapsed="false">
      <c r="A43" s="5" t="s">
        <v>234</v>
      </c>
      <c r="B43" s="6" t="s">
        <v>235</v>
      </c>
      <c r="C43" s="5" t="s">
        <v>41</v>
      </c>
      <c r="D43" s="5" t="s">
        <v>246</v>
      </c>
      <c r="E43" s="6" t="s">
        <v>247</v>
      </c>
      <c r="F43" s="5" t="s">
        <v>58</v>
      </c>
      <c r="G43" s="5" t="s">
        <v>59</v>
      </c>
      <c r="H43" s="5" t="s">
        <v>248</v>
      </c>
      <c r="I43" s="6" t="s">
        <v>170</v>
      </c>
      <c r="J43" s="5" t="s">
        <v>48</v>
      </c>
      <c r="K43" s="5" t="s">
        <v>61</v>
      </c>
      <c r="L43" s="5" t="s">
        <v>232</v>
      </c>
      <c r="M43" s="5" t="s">
        <v>249</v>
      </c>
      <c r="N43" s="5" t="str">
        <f aca="false">IF(AND(LEFT(J43,4)="Pass",LEFT(L43,4)="Pass"),"Closed","Open")</f>
        <v>Closed</v>
      </c>
    </row>
    <row r="44" customFormat="false" ht="23.85" hidden="false" customHeight="false" outlineLevel="0" collapsed="false">
      <c r="A44" s="7" t="s">
        <v>250</v>
      </c>
      <c r="B44" s="8" t="s">
        <v>251</v>
      </c>
      <c r="C44" s="7" t="s">
        <v>41</v>
      </c>
      <c r="D44" s="7" t="s">
        <v>252</v>
      </c>
      <c r="E44" s="8" t="s">
        <v>253</v>
      </c>
      <c r="F44" s="7" t="s">
        <v>254</v>
      </c>
      <c r="G44" s="7" t="s">
        <v>255</v>
      </c>
      <c r="H44" s="7" t="s">
        <v>256</v>
      </c>
      <c r="I44" s="8" t="s">
        <v>129</v>
      </c>
      <c r="J44" s="7" t="s">
        <v>48</v>
      </c>
      <c r="K44" s="7" t="s">
        <v>257</v>
      </c>
      <c r="L44" s="7" t="s">
        <v>48</v>
      </c>
      <c r="M44" s="7"/>
      <c r="N44" s="7" t="str">
        <f aca="false">IF(AND(LEFT(J44,4)="Pass",LEFT(L44,4)="Pass"),"Closed","Open")</f>
        <v>Closed</v>
      </c>
    </row>
    <row r="45" customFormat="false" ht="23.85" hidden="false" customHeight="false" outlineLevel="0" collapsed="false">
      <c r="A45" s="7" t="s">
        <v>250</v>
      </c>
      <c r="B45" s="8" t="s">
        <v>251</v>
      </c>
      <c r="C45" s="7" t="s">
        <v>41</v>
      </c>
      <c r="D45" s="7" t="s">
        <v>258</v>
      </c>
      <c r="E45" s="8" t="s">
        <v>259</v>
      </c>
      <c r="F45" s="7" t="s">
        <v>260</v>
      </c>
      <c r="G45" s="7" t="s">
        <v>255</v>
      </c>
      <c r="H45" s="7" t="s">
        <v>261</v>
      </c>
      <c r="I45" s="8" t="s">
        <v>129</v>
      </c>
      <c r="J45" s="7" t="s">
        <v>48</v>
      </c>
      <c r="K45" s="7" t="s">
        <v>257</v>
      </c>
      <c r="L45" s="7" t="s">
        <v>48</v>
      </c>
      <c r="M45" s="7"/>
      <c r="N45" s="7" t="str">
        <f aca="false">IF(AND(LEFT(J45,4)="Pass",LEFT(L45,4)="Pass"),"Closed","Open")</f>
        <v>Closed</v>
      </c>
    </row>
    <row r="46" customFormat="false" ht="23.85" hidden="false" customHeight="false" outlineLevel="0" collapsed="false">
      <c r="A46" s="7" t="s">
        <v>250</v>
      </c>
      <c r="B46" s="8" t="s">
        <v>251</v>
      </c>
      <c r="C46" s="7" t="s">
        <v>41</v>
      </c>
      <c r="D46" s="7" t="s">
        <v>262</v>
      </c>
      <c r="E46" s="8" t="s">
        <v>263</v>
      </c>
      <c r="F46" s="7" t="s">
        <v>156</v>
      </c>
      <c r="G46" s="7" t="s">
        <v>255</v>
      </c>
      <c r="H46" s="7" t="s">
        <v>264</v>
      </c>
      <c r="I46" s="8" t="s">
        <v>47</v>
      </c>
      <c r="J46" s="7" t="s">
        <v>48</v>
      </c>
      <c r="K46" s="7" t="s">
        <v>257</v>
      </c>
      <c r="L46" s="7" t="s">
        <v>48</v>
      </c>
      <c r="M46" s="7"/>
      <c r="N46" s="7" t="str">
        <f aca="false">IF(AND(LEFT(J46,4)="Pass",LEFT(L46,4)="Pass"),"Closed","Open")</f>
        <v>Closed</v>
      </c>
    </row>
    <row r="47" customFormat="false" ht="23.85" hidden="false" customHeight="false" outlineLevel="0" collapsed="false">
      <c r="A47" s="7" t="s">
        <v>250</v>
      </c>
      <c r="B47" s="8" t="s">
        <v>251</v>
      </c>
      <c r="C47" s="7" t="s">
        <v>41</v>
      </c>
      <c r="D47" s="7" t="s">
        <v>265</v>
      </c>
      <c r="E47" s="8" t="s">
        <v>266</v>
      </c>
      <c r="F47" s="7" t="s">
        <v>156</v>
      </c>
      <c r="G47" s="7" t="s">
        <v>267</v>
      </c>
      <c r="H47" s="7" t="s">
        <v>268</v>
      </c>
      <c r="I47" s="8" t="s">
        <v>269</v>
      </c>
      <c r="J47" s="7" t="s">
        <v>48</v>
      </c>
      <c r="K47" s="7" t="s">
        <v>257</v>
      </c>
      <c r="L47" s="7" t="s">
        <v>48</v>
      </c>
      <c r="M47" s="7"/>
      <c r="N47" s="7" t="str">
        <f aca="false">IF(AND(LEFT(J47,4)="Pass",LEFT(L47,4)="Pass"),"Closed","Open")</f>
        <v>Closed</v>
      </c>
    </row>
    <row r="48" customFormat="false" ht="23.85" hidden="false" customHeight="false" outlineLevel="0" collapsed="false">
      <c r="A48" s="7" t="s">
        <v>250</v>
      </c>
      <c r="B48" s="8" t="s">
        <v>251</v>
      </c>
      <c r="C48" s="7" t="s">
        <v>41</v>
      </c>
      <c r="D48" s="7" t="s">
        <v>270</v>
      </c>
      <c r="E48" s="8" t="s">
        <v>271</v>
      </c>
      <c r="F48" s="7" t="s">
        <v>272</v>
      </c>
      <c r="G48" s="7" t="s">
        <v>255</v>
      </c>
      <c r="H48" s="7" t="s">
        <v>273</v>
      </c>
      <c r="I48" s="8" t="s">
        <v>47</v>
      </c>
      <c r="J48" s="7" t="s">
        <v>48</v>
      </c>
      <c r="K48" s="7" t="s">
        <v>257</v>
      </c>
      <c r="L48" s="7" t="s">
        <v>48</v>
      </c>
      <c r="M48" s="7"/>
      <c r="N48" s="7" t="str">
        <f aca="false">IF(AND(LEFT(J48,4)="Pass",LEFT(L48,4)="Pass"),"Closed","Open")</f>
        <v>Closed</v>
      </c>
    </row>
    <row r="49" customFormat="false" ht="23.85" hidden="false" customHeight="false" outlineLevel="0" collapsed="false">
      <c r="A49" s="5" t="s">
        <v>274</v>
      </c>
      <c r="B49" s="6" t="s">
        <v>275</v>
      </c>
      <c r="C49" s="5" t="s">
        <v>41</v>
      </c>
      <c r="D49" s="5" t="s">
        <v>276</v>
      </c>
      <c r="E49" s="6" t="s">
        <v>277</v>
      </c>
      <c r="F49" s="5" t="s">
        <v>52</v>
      </c>
      <c r="G49" s="5" t="s">
        <v>278</v>
      </c>
      <c r="H49" s="5" t="s">
        <v>279</v>
      </c>
      <c r="I49" s="6" t="s">
        <v>129</v>
      </c>
      <c r="J49" s="5" t="s">
        <v>48</v>
      </c>
      <c r="K49" s="5" t="s">
        <v>280</v>
      </c>
      <c r="L49" s="5" t="s">
        <v>48</v>
      </c>
      <c r="M49" s="5"/>
      <c r="N49" s="5" t="str">
        <f aca="false">IF(AND(LEFT(J49,4)="Pass",LEFT(L49,4)="Pass"),"Closed","Open")</f>
        <v>Closed</v>
      </c>
    </row>
    <row r="50" customFormat="false" ht="23.85" hidden="false" customHeight="false" outlineLevel="0" collapsed="false">
      <c r="A50" s="5" t="s">
        <v>274</v>
      </c>
      <c r="B50" s="6" t="s">
        <v>275</v>
      </c>
      <c r="C50" s="5" t="s">
        <v>41</v>
      </c>
      <c r="D50" s="5" t="s">
        <v>281</v>
      </c>
      <c r="E50" s="6" t="s">
        <v>282</v>
      </c>
      <c r="F50" s="5" t="s">
        <v>52</v>
      </c>
      <c r="G50" s="5" t="s">
        <v>278</v>
      </c>
      <c r="H50" s="5" t="s">
        <v>283</v>
      </c>
      <c r="I50" s="6" t="s">
        <v>129</v>
      </c>
      <c r="J50" s="5" t="s">
        <v>48</v>
      </c>
      <c r="K50" s="5" t="s">
        <v>280</v>
      </c>
      <c r="L50" s="5" t="s">
        <v>48</v>
      </c>
      <c r="M50" s="5"/>
      <c r="N50" s="5" t="str">
        <f aca="false">IF(AND(LEFT(J50,4)="Pass",LEFT(L50,4)="Pass"),"Closed","Open")</f>
        <v>Closed</v>
      </c>
    </row>
    <row r="51" customFormat="false" ht="23.85" hidden="false" customHeight="false" outlineLevel="0" collapsed="false">
      <c r="A51" s="5" t="s">
        <v>274</v>
      </c>
      <c r="B51" s="6" t="s">
        <v>275</v>
      </c>
      <c r="C51" s="5" t="s">
        <v>41</v>
      </c>
      <c r="D51" s="5" t="s">
        <v>284</v>
      </c>
      <c r="E51" s="6" t="s">
        <v>285</v>
      </c>
      <c r="F51" s="5" t="s">
        <v>286</v>
      </c>
      <c r="G51" s="5" t="s">
        <v>287</v>
      </c>
      <c r="H51" s="5" t="s">
        <v>288</v>
      </c>
      <c r="I51" s="6" t="s">
        <v>129</v>
      </c>
      <c r="J51" s="5" t="s">
        <v>48</v>
      </c>
      <c r="K51" s="5" t="s">
        <v>280</v>
      </c>
      <c r="L51" s="5" t="s">
        <v>48</v>
      </c>
      <c r="M51" s="5"/>
      <c r="N51" s="5" t="str">
        <f aca="false">IF(AND(LEFT(J51,4)="Pass",LEFT(L51,4)="Pass"),"Closed","Open")</f>
        <v>Closed</v>
      </c>
    </row>
    <row r="52" customFormat="false" ht="23.85" hidden="false" customHeight="false" outlineLevel="0" collapsed="false">
      <c r="A52" s="5" t="s">
        <v>274</v>
      </c>
      <c r="B52" s="6" t="s">
        <v>275</v>
      </c>
      <c r="C52" s="5" t="s">
        <v>41</v>
      </c>
      <c r="D52" s="5" t="s">
        <v>289</v>
      </c>
      <c r="E52" s="6" t="s">
        <v>290</v>
      </c>
      <c r="F52" s="5" t="s">
        <v>291</v>
      </c>
      <c r="G52" s="5" t="s">
        <v>287</v>
      </c>
      <c r="H52" s="5" t="s">
        <v>292</v>
      </c>
      <c r="I52" s="6" t="s">
        <v>47</v>
      </c>
      <c r="J52" s="5" t="s">
        <v>48</v>
      </c>
      <c r="K52" s="5" t="s">
        <v>280</v>
      </c>
      <c r="L52" s="5" t="s">
        <v>48</v>
      </c>
      <c r="M52" s="5"/>
      <c r="N52" s="5" t="str">
        <f aca="false">IF(AND(LEFT(J52,4)="Pass",LEFT(L52,4)="Pass"),"Closed","Open")</f>
        <v>Closed</v>
      </c>
    </row>
    <row r="53" customFormat="false" ht="23.85" hidden="false" customHeight="false" outlineLevel="0" collapsed="false">
      <c r="A53" s="5" t="s">
        <v>274</v>
      </c>
      <c r="B53" s="6" t="s">
        <v>275</v>
      </c>
      <c r="C53" s="5" t="s">
        <v>41</v>
      </c>
      <c r="D53" s="5" t="s">
        <v>293</v>
      </c>
      <c r="E53" s="6" t="s">
        <v>294</v>
      </c>
      <c r="F53" s="5" t="s">
        <v>58</v>
      </c>
      <c r="G53" s="5" t="s">
        <v>295</v>
      </c>
      <c r="H53" s="5" t="s">
        <v>296</v>
      </c>
      <c r="I53" s="6" t="s">
        <v>170</v>
      </c>
      <c r="J53" s="5" t="s">
        <v>48</v>
      </c>
      <c r="K53" s="5" t="s">
        <v>280</v>
      </c>
      <c r="L53" s="5" t="s">
        <v>48</v>
      </c>
      <c r="M53" s="5"/>
      <c r="N53" s="5" t="str">
        <f aca="false">IF(AND(LEFT(J53,4)="Pass",LEFT(L53,4)="Pass"),"Closed","Open")</f>
        <v>Closed</v>
      </c>
    </row>
    <row r="54" customFormat="false" ht="23.85" hidden="false" customHeight="false" outlineLevel="0" collapsed="false">
      <c r="A54" s="7" t="s">
        <v>297</v>
      </c>
      <c r="B54" s="8" t="s">
        <v>298</v>
      </c>
      <c r="C54" s="7" t="s">
        <v>41</v>
      </c>
      <c r="D54" s="7" t="s">
        <v>299</v>
      </c>
      <c r="E54" s="8" t="s">
        <v>300</v>
      </c>
      <c r="F54" s="7" t="s">
        <v>301</v>
      </c>
      <c r="G54" s="7" t="s">
        <v>302</v>
      </c>
      <c r="H54" s="7" t="s">
        <v>303</v>
      </c>
      <c r="I54" s="8" t="s">
        <v>304</v>
      </c>
      <c r="J54" s="7" t="s">
        <v>48</v>
      </c>
      <c r="K54" s="7" t="s">
        <v>241</v>
      </c>
      <c r="L54" s="7" t="s">
        <v>48</v>
      </c>
      <c r="M54" s="7"/>
      <c r="N54" s="7" t="str">
        <f aca="false">IF(AND(LEFT(J54,4)="Pass",LEFT(L54,4)="Pass"),"Closed","Open")</f>
        <v>Closed</v>
      </c>
    </row>
    <row r="55" customFormat="false" ht="23.85" hidden="false" customHeight="false" outlineLevel="0" collapsed="false">
      <c r="A55" s="7" t="s">
        <v>297</v>
      </c>
      <c r="B55" s="8" t="s">
        <v>298</v>
      </c>
      <c r="C55" s="7" t="s">
        <v>41</v>
      </c>
      <c r="D55" s="7" t="s">
        <v>305</v>
      </c>
      <c r="E55" s="8" t="s">
        <v>306</v>
      </c>
      <c r="F55" s="7" t="s">
        <v>301</v>
      </c>
      <c r="G55" s="7" t="s">
        <v>302</v>
      </c>
      <c r="H55" s="7" t="s">
        <v>307</v>
      </c>
      <c r="I55" s="8" t="s">
        <v>308</v>
      </c>
      <c r="J55" s="7" t="s">
        <v>48</v>
      </c>
      <c r="K55" s="7" t="s">
        <v>241</v>
      </c>
      <c r="L55" s="7" t="s">
        <v>48</v>
      </c>
      <c r="M55" s="7"/>
      <c r="N55" s="7" t="str">
        <f aca="false">IF(AND(LEFT(J55,4)="Pass",LEFT(L55,4)="Pass"),"Closed","Open")</f>
        <v>Closed</v>
      </c>
    </row>
    <row r="56" customFormat="false" ht="23.85" hidden="false" customHeight="false" outlineLevel="0" collapsed="false">
      <c r="A56" s="7" t="s">
        <v>297</v>
      </c>
      <c r="B56" s="8" t="s">
        <v>298</v>
      </c>
      <c r="C56" s="7" t="s">
        <v>41</v>
      </c>
      <c r="D56" s="7" t="s">
        <v>309</v>
      </c>
      <c r="E56" s="8" t="s">
        <v>310</v>
      </c>
      <c r="F56" s="7" t="s">
        <v>301</v>
      </c>
      <c r="G56" s="7" t="s">
        <v>302</v>
      </c>
      <c r="H56" s="7" t="s">
        <v>311</v>
      </c>
      <c r="I56" s="8" t="s">
        <v>47</v>
      </c>
      <c r="J56" s="7" t="s">
        <v>48</v>
      </c>
      <c r="K56" s="7" t="s">
        <v>241</v>
      </c>
      <c r="L56" s="7" t="s">
        <v>48</v>
      </c>
      <c r="M56" s="7"/>
      <c r="N56" s="7" t="str">
        <f aca="false">IF(AND(LEFT(J56,4)="Pass",LEFT(L56,4)="Pass"),"Closed","Open")</f>
        <v>Closed</v>
      </c>
    </row>
    <row r="57" customFormat="false" ht="23.85" hidden="false" customHeight="false" outlineLevel="0" collapsed="false">
      <c r="A57" s="5" t="s">
        <v>312</v>
      </c>
      <c r="B57" s="6" t="s">
        <v>313</v>
      </c>
      <c r="C57" s="5" t="s">
        <v>314</v>
      </c>
      <c r="D57" s="5" t="s">
        <v>315</v>
      </c>
      <c r="E57" s="6" t="s">
        <v>316</v>
      </c>
      <c r="F57" s="5" t="s">
        <v>317</v>
      </c>
      <c r="G57" s="5" t="s">
        <v>318</v>
      </c>
      <c r="H57" s="5" t="s">
        <v>319</v>
      </c>
      <c r="I57" s="6" t="s">
        <v>129</v>
      </c>
      <c r="J57" s="5" t="s">
        <v>48</v>
      </c>
      <c r="K57" s="5" t="s">
        <v>320</v>
      </c>
      <c r="L57" s="5" t="s">
        <v>48</v>
      </c>
      <c r="M57" s="5"/>
      <c r="N57" s="5" t="str">
        <f aca="false">IF(AND(LEFT(J57,4)="Pass",LEFT(L57,4)="Pass"),"Closed","Open")</f>
        <v>Closed</v>
      </c>
    </row>
    <row r="58" customFormat="false" ht="23.85" hidden="false" customHeight="false" outlineLevel="0" collapsed="false">
      <c r="A58" s="5" t="s">
        <v>312</v>
      </c>
      <c r="B58" s="6" t="s">
        <v>313</v>
      </c>
      <c r="C58" s="5" t="s">
        <v>314</v>
      </c>
      <c r="D58" s="5" t="s">
        <v>321</v>
      </c>
      <c r="E58" s="6" t="s">
        <v>322</v>
      </c>
      <c r="F58" s="5" t="s">
        <v>58</v>
      </c>
      <c r="G58" s="5" t="s">
        <v>318</v>
      </c>
      <c r="H58" s="5" t="s">
        <v>323</v>
      </c>
      <c r="I58" s="6" t="s">
        <v>47</v>
      </c>
      <c r="J58" s="5" t="s">
        <v>48</v>
      </c>
      <c r="K58" s="5" t="s">
        <v>320</v>
      </c>
      <c r="L58" s="5" t="s">
        <v>48</v>
      </c>
      <c r="M58" s="5"/>
      <c r="N58" s="5" t="str">
        <f aca="false">IF(AND(LEFT(J58,4)="Pass",LEFT(L58,4)="Pass"),"Closed","Open")</f>
        <v>Closed</v>
      </c>
    </row>
    <row r="59" customFormat="false" ht="23.85" hidden="false" customHeight="false" outlineLevel="0" collapsed="false">
      <c r="A59" s="5" t="s">
        <v>312</v>
      </c>
      <c r="B59" s="6" t="s">
        <v>313</v>
      </c>
      <c r="C59" s="5" t="s">
        <v>314</v>
      </c>
      <c r="D59" s="5" t="s">
        <v>324</v>
      </c>
      <c r="E59" s="6" t="s">
        <v>325</v>
      </c>
      <c r="F59" s="5" t="s">
        <v>238</v>
      </c>
      <c r="G59" s="5" t="s">
        <v>318</v>
      </c>
      <c r="H59" s="5" t="s">
        <v>326</v>
      </c>
      <c r="I59" s="6" t="s">
        <v>47</v>
      </c>
      <c r="J59" s="5" t="s">
        <v>48</v>
      </c>
      <c r="K59" s="5" t="s">
        <v>320</v>
      </c>
      <c r="L59" s="5" t="s">
        <v>48</v>
      </c>
      <c r="M59" s="5"/>
      <c r="N59" s="5" t="str">
        <f aca="false">IF(AND(LEFT(J59,4)="Pass",LEFT(L59,4)="Pass"),"Closed","Open")</f>
        <v>Closed</v>
      </c>
    </row>
    <row r="60" customFormat="false" ht="23.85" hidden="false" customHeight="false" outlineLevel="0" collapsed="false">
      <c r="A60" s="7" t="s">
        <v>327</v>
      </c>
      <c r="B60" s="8" t="s">
        <v>328</v>
      </c>
      <c r="C60" s="7" t="s">
        <v>314</v>
      </c>
      <c r="D60" s="7" t="s">
        <v>202</v>
      </c>
      <c r="E60" s="8" t="s">
        <v>329</v>
      </c>
      <c r="F60" s="7" t="s">
        <v>184</v>
      </c>
      <c r="G60" s="7" t="s">
        <v>204</v>
      </c>
      <c r="H60" s="7" t="s">
        <v>330</v>
      </c>
      <c r="I60" s="8" t="s">
        <v>213</v>
      </c>
      <c r="J60" s="7" t="s">
        <v>48</v>
      </c>
      <c r="K60" s="7" t="s">
        <v>214</v>
      </c>
      <c r="L60" s="7" t="s">
        <v>48</v>
      </c>
      <c r="M60" s="7"/>
      <c r="N60" s="7" t="str">
        <f aca="false">IF(AND(LEFT(J60,4)="Pass",LEFT(L60,4)="Pass"),"Closed","Open")</f>
        <v>Closed</v>
      </c>
    </row>
    <row r="61" customFormat="false" ht="23.85" hidden="false" customHeight="false" outlineLevel="0" collapsed="false">
      <c r="A61" s="7" t="s">
        <v>327</v>
      </c>
      <c r="B61" s="8" t="s">
        <v>328</v>
      </c>
      <c r="C61" s="7" t="s">
        <v>314</v>
      </c>
      <c r="D61" s="7" t="s">
        <v>222</v>
      </c>
      <c r="E61" s="8" t="s">
        <v>331</v>
      </c>
      <c r="F61" s="7" t="s">
        <v>210</v>
      </c>
      <c r="G61" s="7" t="s">
        <v>224</v>
      </c>
      <c r="H61" s="7" t="s">
        <v>332</v>
      </c>
      <c r="I61" s="8" t="s">
        <v>213</v>
      </c>
      <c r="J61" s="7" t="s">
        <v>48</v>
      </c>
      <c r="K61" s="7" t="s">
        <v>214</v>
      </c>
      <c r="L61" s="7" t="s">
        <v>48</v>
      </c>
      <c r="M61" s="7"/>
      <c r="N61" s="7" t="str">
        <f aca="false">IF(AND(LEFT(J61,4)="Pass",LEFT(L61,4)="Pass"),"Closed","Open")</f>
        <v>Closed</v>
      </c>
    </row>
  </sheetData>
  <autoFilter ref="A1:N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3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1" t="s">
        <v>333</v>
      </c>
    </row>
    <row r="2" customFormat="false" ht="15" hidden="false" customHeight="false" outlineLevel="0" collapsed="false">
      <c r="A2" s="9" t="s">
        <v>334</v>
      </c>
    </row>
    <row r="4" customFormat="false" ht="31.5" hidden="false" customHeight="true" outlineLevel="0" collapsed="false">
      <c r="A4" s="4" t="s">
        <v>25</v>
      </c>
      <c r="B4" s="4" t="s">
        <v>26</v>
      </c>
      <c r="C4" s="4" t="s">
        <v>27</v>
      </c>
      <c r="D4" s="4" t="s">
        <v>335</v>
      </c>
      <c r="E4" s="4" t="s">
        <v>336</v>
      </c>
      <c r="F4" s="4" t="s">
        <v>337</v>
      </c>
      <c r="G4" s="4" t="s">
        <v>338</v>
      </c>
      <c r="H4" s="4" t="s">
        <v>339</v>
      </c>
      <c r="I4" s="4" t="s">
        <v>340</v>
      </c>
    </row>
    <row r="5" customFormat="false" ht="23.85" hidden="false" customHeight="false" outlineLevel="0" collapsed="false">
      <c r="A5" s="7" t="s">
        <v>39</v>
      </c>
      <c r="B5" s="8" t="s">
        <v>40</v>
      </c>
      <c r="C5" s="7" t="s">
        <v>41</v>
      </c>
      <c r="D5" s="7" t="n">
        <f aca="false">COUNTIF(RTM!$A$2:$A$61,$A5)</f>
        <v>3</v>
      </c>
      <c r="E5" s="7" t="n">
        <f aca="false">COUNTIFS(RTM!$A$2:$A$61,$A5,RTM!$H$2:$H$61,"&lt;&gt;")</f>
        <v>3</v>
      </c>
      <c r="F5" s="7" t="n">
        <f aca="false">COUNTIFS(RTM!$A$2:$A$61,$A5,RTM!$J$2:$J$61,"Pass*")</f>
        <v>3</v>
      </c>
      <c r="G5" s="7" t="n">
        <f aca="false">COUNTIFS(RTM!$A$2:$A$61,$A5,RTM!$L$2:$L$61,"Pass*")</f>
        <v>3</v>
      </c>
      <c r="H5" s="10" t="n">
        <f aca="false">IF($D5=0,0,$G5/$D5)</f>
        <v>1</v>
      </c>
      <c r="I5" s="7" t="str">
        <f aca="false">IF(AND($D5=$E5,$E5=$G5),"Met","Not met")</f>
        <v>Met</v>
      </c>
    </row>
    <row r="6" customFormat="false" ht="23.85" hidden="false" customHeight="false" outlineLevel="0" collapsed="false">
      <c r="A6" s="7" t="s">
        <v>62</v>
      </c>
      <c r="B6" s="8" t="s">
        <v>63</v>
      </c>
      <c r="C6" s="7" t="s">
        <v>41</v>
      </c>
      <c r="D6" s="7" t="n">
        <f aca="false">COUNTIF(RTM!$A$2:$A$61,$A6)</f>
        <v>6</v>
      </c>
      <c r="E6" s="7" t="n">
        <f aca="false">COUNTIFS(RTM!$A$2:$A$61,$A6,RTM!$H$2:$H$61,"&lt;&gt;")</f>
        <v>6</v>
      </c>
      <c r="F6" s="7" t="n">
        <f aca="false">COUNTIFS(RTM!$A$2:$A$61,$A6,RTM!$J$2:$J$61,"Pass*")</f>
        <v>6</v>
      </c>
      <c r="G6" s="7" t="n">
        <f aca="false">COUNTIFS(RTM!$A$2:$A$61,$A6,RTM!$L$2:$L$61,"Pass*")</f>
        <v>6</v>
      </c>
      <c r="H6" s="10" t="n">
        <f aca="false">IF($D6=0,0,$G6/$D6)</f>
        <v>1</v>
      </c>
      <c r="I6" s="7" t="str">
        <f aca="false">IF(AND($D6=$E6,$E6=$G6),"Met","Not met")</f>
        <v>Met</v>
      </c>
    </row>
    <row r="7" customFormat="false" ht="23.85" hidden="false" customHeight="false" outlineLevel="0" collapsed="false">
      <c r="A7" s="7" t="s">
        <v>92</v>
      </c>
      <c r="B7" s="8" t="s">
        <v>93</v>
      </c>
      <c r="C7" s="7" t="s">
        <v>41</v>
      </c>
      <c r="D7" s="7" t="n">
        <f aca="false">COUNTIF(RTM!$A$2:$A$61,$A7)</f>
        <v>3</v>
      </c>
      <c r="E7" s="7" t="n">
        <f aca="false">COUNTIFS(RTM!$A$2:$A$61,$A7,RTM!$H$2:$H$61,"&lt;&gt;")</f>
        <v>3</v>
      </c>
      <c r="F7" s="7" t="n">
        <f aca="false">COUNTIFS(RTM!$A$2:$A$61,$A7,RTM!$J$2:$J$61,"Pass*")</f>
        <v>3</v>
      </c>
      <c r="G7" s="7" t="n">
        <f aca="false">COUNTIFS(RTM!$A$2:$A$61,$A7,RTM!$L$2:$L$61,"Pass*")</f>
        <v>3</v>
      </c>
      <c r="H7" s="10" t="n">
        <f aca="false">IF($D7=0,0,$G7/$D7)</f>
        <v>1</v>
      </c>
      <c r="I7" s="7" t="str">
        <f aca="false">IF(AND($D7=$E7,$E7=$G7),"Met","Not met")</f>
        <v>Met</v>
      </c>
    </row>
    <row r="8" customFormat="false" ht="23.85" hidden="false" customHeight="false" outlineLevel="0" collapsed="false">
      <c r="A8" s="7" t="s">
        <v>107</v>
      </c>
      <c r="B8" s="8" t="s">
        <v>108</v>
      </c>
      <c r="C8" s="7" t="s">
        <v>41</v>
      </c>
      <c r="D8" s="7" t="n">
        <f aca="false">COUNTIF(RTM!$A$2:$A$61,$A8)</f>
        <v>9</v>
      </c>
      <c r="E8" s="7" t="n">
        <f aca="false">COUNTIFS(RTM!$A$2:$A$61,$A8,RTM!$H$2:$H$61,"&lt;&gt;")</f>
        <v>9</v>
      </c>
      <c r="F8" s="7" t="n">
        <f aca="false">COUNTIFS(RTM!$A$2:$A$61,$A8,RTM!$J$2:$J$61,"Pass*")</f>
        <v>9</v>
      </c>
      <c r="G8" s="7" t="n">
        <f aca="false">COUNTIFS(RTM!$A$2:$A$61,$A8,RTM!$L$2:$L$61,"Pass*")</f>
        <v>9</v>
      </c>
      <c r="H8" s="10" t="n">
        <f aca="false">IF($D8=0,0,$G8/$D8)</f>
        <v>1</v>
      </c>
      <c r="I8" s="7" t="str">
        <f aca="false">IF(AND($D8=$E8,$E8=$G8),"Met","Not met")</f>
        <v>Met</v>
      </c>
    </row>
    <row r="9" customFormat="false" ht="23.85" hidden="false" customHeight="false" outlineLevel="0" collapsed="false">
      <c r="A9" s="7" t="s">
        <v>147</v>
      </c>
      <c r="B9" s="8" t="s">
        <v>148</v>
      </c>
      <c r="C9" s="7" t="s">
        <v>41</v>
      </c>
      <c r="D9" s="7" t="n">
        <f aca="false">COUNTIF(RTM!$A$2:$A$61,$A9)</f>
        <v>2</v>
      </c>
      <c r="E9" s="7" t="n">
        <f aca="false">COUNTIFS(RTM!$A$2:$A$61,$A9,RTM!$H$2:$H$61,"&lt;&gt;")</f>
        <v>2</v>
      </c>
      <c r="F9" s="7" t="n">
        <f aca="false">COUNTIFS(RTM!$A$2:$A$61,$A9,RTM!$J$2:$J$61,"Pass*")</f>
        <v>2</v>
      </c>
      <c r="G9" s="7" t="n">
        <f aca="false">COUNTIFS(RTM!$A$2:$A$61,$A9,RTM!$L$2:$L$61,"Pass*")</f>
        <v>2</v>
      </c>
      <c r="H9" s="10" t="n">
        <f aca="false">IF($D9=0,0,$G9/$D9)</f>
        <v>1</v>
      </c>
      <c r="I9" s="7" t="str">
        <f aca="false">IF(AND($D9=$E9,$E9=$G9),"Met","Not met")</f>
        <v>Met</v>
      </c>
    </row>
    <row r="10" customFormat="false" ht="23.85" hidden="false" customHeight="false" outlineLevel="0" collapsed="false">
      <c r="A10" s="7" t="s">
        <v>159</v>
      </c>
      <c r="B10" s="8" t="s">
        <v>160</v>
      </c>
      <c r="C10" s="7" t="s">
        <v>41</v>
      </c>
      <c r="D10" s="7" t="n">
        <f aca="false">COUNTIF(RTM!$A$2:$A$61,$A10)</f>
        <v>3</v>
      </c>
      <c r="E10" s="7" t="n">
        <f aca="false">COUNTIFS(RTM!$A$2:$A$61,$A10,RTM!$H$2:$H$61,"&lt;&gt;")</f>
        <v>3</v>
      </c>
      <c r="F10" s="7" t="n">
        <f aca="false">COUNTIFS(RTM!$A$2:$A$61,$A10,RTM!$J$2:$J$61,"Pass*")</f>
        <v>3</v>
      </c>
      <c r="G10" s="7" t="n">
        <f aca="false">COUNTIFS(RTM!$A$2:$A$61,$A10,RTM!$L$2:$L$61,"Pass*")</f>
        <v>3</v>
      </c>
      <c r="H10" s="10" t="n">
        <f aca="false">IF($D10=0,0,$G10/$D10)</f>
        <v>1</v>
      </c>
      <c r="I10" s="7" t="str">
        <f aca="false">IF(AND($D10=$E10,$E10=$G10),"Met","Not met")</f>
        <v>Met</v>
      </c>
    </row>
    <row r="11" customFormat="false" ht="23.85" hidden="false" customHeight="false" outlineLevel="0" collapsed="false">
      <c r="A11" s="7" t="s">
        <v>175</v>
      </c>
      <c r="B11" s="8" t="s">
        <v>176</v>
      </c>
      <c r="C11" s="7" t="s">
        <v>41</v>
      </c>
      <c r="D11" s="7" t="n">
        <f aca="false">COUNTIF(RTM!$A$2:$A$61,$A11)</f>
        <v>7</v>
      </c>
      <c r="E11" s="7" t="n">
        <f aca="false">COUNTIFS(RTM!$A$2:$A$61,$A11,RTM!$H$2:$H$61,"&lt;&gt;")</f>
        <v>7</v>
      </c>
      <c r="F11" s="7" t="n">
        <f aca="false">COUNTIFS(RTM!$A$2:$A$61,$A11,RTM!$J$2:$J$61,"Pass*")</f>
        <v>7</v>
      </c>
      <c r="G11" s="7" t="n">
        <f aca="false">COUNTIFS(RTM!$A$2:$A$61,$A11,RTM!$L$2:$L$61,"Pass*")</f>
        <v>7</v>
      </c>
      <c r="H11" s="10" t="n">
        <f aca="false">IF($D11=0,0,$G11/$D11)</f>
        <v>1</v>
      </c>
      <c r="I11" s="7" t="str">
        <f aca="false">IF(AND($D11=$E11,$E11=$G11),"Met","Not met")</f>
        <v>Met</v>
      </c>
    </row>
    <row r="12" customFormat="false" ht="23.85" hidden="false" customHeight="false" outlineLevel="0" collapsed="false">
      <c r="A12" s="7" t="s">
        <v>206</v>
      </c>
      <c r="B12" s="8" t="s">
        <v>207</v>
      </c>
      <c r="C12" s="7" t="s">
        <v>41</v>
      </c>
      <c r="D12" s="7" t="n">
        <f aca="false">COUNTIF(RTM!$A$2:$A$61,$A12)</f>
        <v>6</v>
      </c>
      <c r="E12" s="7" t="n">
        <f aca="false">COUNTIFS(RTM!$A$2:$A$61,$A12,RTM!$H$2:$H$61,"&lt;&gt;")</f>
        <v>6</v>
      </c>
      <c r="F12" s="7" t="n">
        <f aca="false">COUNTIFS(RTM!$A$2:$A$61,$A12,RTM!$J$2:$J$61,"Pass*")</f>
        <v>6</v>
      </c>
      <c r="G12" s="7" t="n">
        <f aca="false">COUNTIFS(RTM!$A$2:$A$61,$A12,RTM!$L$2:$L$61,"Pass*")</f>
        <v>6</v>
      </c>
      <c r="H12" s="10" t="n">
        <f aca="false">IF($D12=0,0,$G12/$D12)</f>
        <v>1</v>
      </c>
      <c r="I12" s="7" t="str">
        <f aca="false">IF(AND($D12=$E12,$E12=$G12),"Met","Not met")</f>
        <v>Met</v>
      </c>
    </row>
    <row r="13" customFormat="false" ht="23.85" hidden="false" customHeight="false" outlineLevel="0" collapsed="false">
      <c r="A13" s="7" t="s">
        <v>234</v>
      </c>
      <c r="B13" s="8" t="s">
        <v>235</v>
      </c>
      <c r="C13" s="7" t="s">
        <v>41</v>
      </c>
      <c r="D13" s="7" t="n">
        <f aca="false">COUNTIF(RTM!$A$2:$A$61,$A13)</f>
        <v>3</v>
      </c>
      <c r="E13" s="7" t="n">
        <f aca="false">COUNTIFS(RTM!$A$2:$A$61,$A13,RTM!$H$2:$H$61,"&lt;&gt;")</f>
        <v>3</v>
      </c>
      <c r="F13" s="7" t="n">
        <f aca="false">COUNTIFS(RTM!$A$2:$A$61,$A13,RTM!$J$2:$J$61,"Pass*")</f>
        <v>3</v>
      </c>
      <c r="G13" s="7" t="n">
        <f aca="false">COUNTIFS(RTM!$A$2:$A$61,$A13,RTM!$L$2:$L$61,"Pass*")</f>
        <v>3</v>
      </c>
      <c r="H13" s="10" t="n">
        <f aca="false">IF($D13=0,0,$G13/$D13)</f>
        <v>1</v>
      </c>
      <c r="I13" s="7" t="str">
        <f aca="false">IF(AND($D13=$E13,$E13=$G13),"Met","Not met")</f>
        <v>Met</v>
      </c>
    </row>
    <row r="14" customFormat="false" ht="23.85" hidden="false" customHeight="false" outlineLevel="0" collapsed="false">
      <c r="A14" s="7" t="s">
        <v>250</v>
      </c>
      <c r="B14" s="8" t="s">
        <v>251</v>
      </c>
      <c r="C14" s="7" t="s">
        <v>41</v>
      </c>
      <c r="D14" s="7" t="n">
        <f aca="false">COUNTIF(RTM!$A$2:$A$61,$A14)</f>
        <v>5</v>
      </c>
      <c r="E14" s="7" t="n">
        <f aca="false">COUNTIFS(RTM!$A$2:$A$61,$A14,RTM!$H$2:$H$61,"&lt;&gt;")</f>
        <v>5</v>
      </c>
      <c r="F14" s="7" t="n">
        <f aca="false">COUNTIFS(RTM!$A$2:$A$61,$A14,RTM!$J$2:$J$61,"Pass*")</f>
        <v>5</v>
      </c>
      <c r="G14" s="7" t="n">
        <f aca="false">COUNTIFS(RTM!$A$2:$A$61,$A14,RTM!$L$2:$L$61,"Pass*")</f>
        <v>5</v>
      </c>
      <c r="H14" s="10" t="n">
        <f aca="false">IF($D14=0,0,$G14/$D14)</f>
        <v>1</v>
      </c>
      <c r="I14" s="7" t="str">
        <f aca="false">IF(AND($D14=$E14,$E14=$G14),"Met","Not met")</f>
        <v>Met</v>
      </c>
    </row>
    <row r="15" customFormat="false" ht="23.85" hidden="false" customHeight="false" outlineLevel="0" collapsed="false">
      <c r="A15" s="7" t="s">
        <v>274</v>
      </c>
      <c r="B15" s="8" t="s">
        <v>275</v>
      </c>
      <c r="C15" s="7" t="s">
        <v>41</v>
      </c>
      <c r="D15" s="7" t="n">
        <f aca="false">COUNTIF(RTM!$A$2:$A$61,$A15)</f>
        <v>5</v>
      </c>
      <c r="E15" s="7" t="n">
        <f aca="false">COUNTIFS(RTM!$A$2:$A$61,$A15,RTM!$H$2:$H$61,"&lt;&gt;")</f>
        <v>5</v>
      </c>
      <c r="F15" s="7" t="n">
        <f aca="false">COUNTIFS(RTM!$A$2:$A$61,$A15,RTM!$J$2:$J$61,"Pass*")</f>
        <v>5</v>
      </c>
      <c r="G15" s="7" t="n">
        <f aca="false">COUNTIFS(RTM!$A$2:$A$61,$A15,RTM!$L$2:$L$61,"Pass*")</f>
        <v>5</v>
      </c>
      <c r="H15" s="10" t="n">
        <f aca="false">IF($D15=0,0,$G15/$D15)</f>
        <v>1</v>
      </c>
      <c r="I15" s="7" t="str">
        <f aca="false">IF(AND($D15=$E15,$E15=$G15),"Met","Not met")</f>
        <v>Met</v>
      </c>
    </row>
    <row r="16" customFormat="false" ht="23.85" hidden="false" customHeight="false" outlineLevel="0" collapsed="false">
      <c r="A16" s="7" t="s">
        <v>297</v>
      </c>
      <c r="B16" s="8" t="s">
        <v>298</v>
      </c>
      <c r="C16" s="7" t="s">
        <v>41</v>
      </c>
      <c r="D16" s="7" t="n">
        <f aca="false">COUNTIF(RTM!$A$2:$A$61,$A16)</f>
        <v>3</v>
      </c>
      <c r="E16" s="7" t="n">
        <f aca="false">COUNTIFS(RTM!$A$2:$A$61,$A16,RTM!$H$2:$H$61,"&lt;&gt;")</f>
        <v>3</v>
      </c>
      <c r="F16" s="7" t="n">
        <f aca="false">COUNTIFS(RTM!$A$2:$A$61,$A16,RTM!$J$2:$J$61,"Pass*")</f>
        <v>3</v>
      </c>
      <c r="G16" s="7" t="n">
        <f aca="false">COUNTIFS(RTM!$A$2:$A$61,$A16,RTM!$L$2:$L$61,"Pass*")</f>
        <v>3</v>
      </c>
      <c r="H16" s="10" t="n">
        <f aca="false">IF($D16=0,0,$G16/$D16)</f>
        <v>1</v>
      </c>
      <c r="I16" s="7" t="str">
        <f aca="false">IF(AND($D16=$E16,$E16=$G16),"Met","Not met")</f>
        <v>Met</v>
      </c>
    </row>
    <row r="17" customFormat="false" ht="23.85" hidden="false" customHeight="false" outlineLevel="0" collapsed="false">
      <c r="A17" s="7" t="s">
        <v>312</v>
      </c>
      <c r="B17" s="8" t="s">
        <v>313</v>
      </c>
      <c r="C17" s="7" t="s">
        <v>314</v>
      </c>
      <c r="D17" s="7" t="n">
        <f aca="false">COUNTIF(RTM!$A$2:$A$61,$A17)</f>
        <v>3</v>
      </c>
      <c r="E17" s="7" t="n">
        <f aca="false">COUNTIFS(RTM!$A$2:$A$61,$A17,RTM!$H$2:$H$61,"&lt;&gt;")</f>
        <v>3</v>
      </c>
      <c r="F17" s="7" t="n">
        <f aca="false">COUNTIFS(RTM!$A$2:$A$61,$A17,RTM!$J$2:$J$61,"Pass*")</f>
        <v>3</v>
      </c>
      <c r="G17" s="7" t="n">
        <f aca="false">COUNTIFS(RTM!$A$2:$A$61,$A17,RTM!$L$2:$L$61,"Pass*")</f>
        <v>3</v>
      </c>
      <c r="H17" s="10" t="n">
        <f aca="false">IF($D17=0,0,$G17/$D17)</f>
        <v>1</v>
      </c>
      <c r="I17" s="7" t="str">
        <f aca="false">IF(AND($D17=$E17,$E17=$G17),"Met","Not met")</f>
        <v>Met</v>
      </c>
    </row>
    <row r="18" customFormat="false" ht="23.85" hidden="false" customHeight="false" outlineLevel="0" collapsed="false">
      <c r="A18" s="7" t="s">
        <v>327</v>
      </c>
      <c r="B18" s="8" t="s">
        <v>328</v>
      </c>
      <c r="C18" s="7" t="s">
        <v>314</v>
      </c>
      <c r="D18" s="7" t="n">
        <f aca="false">COUNTIF(RTM!$A$2:$A$61,$A18)</f>
        <v>2</v>
      </c>
      <c r="E18" s="7" t="n">
        <f aca="false">COUNTIFS(RTM!$A$2:$A$61,$A18,RTM!$H$2:$H$61,"&lt;&gt;")</f>
        <v>2</v>
      </c>
      <c r="F18" s="7" t="n">
        <f aca="false">COUNTIFS(RTM!$A$2:$A$61,$A18,RTM!$J$2:$J$61,"Pass*")</f>
        <v>2</v>
      </c>
      <c r="G18" s="7" t="n">
        <f aca="false">COUNTIFS(RTM!$A$2:$A$61,$A18,RTM!$L$2:$L$61,"Pass*")</f>
        <v>2</v>
      </c>
      <c r="H18" s="10" t="n">
        <f aca="false">IF($D18=0,0,$G18/$D18)</f>
        <v>1</v>
      </c>
      <c r="I18" s="7" t="str">
        <f aca="false">IF(AND($D18=$E18,$E18=$G18),"Met","Not met")</f>
        <v>Met</v>
      </c>
    </row>
    <row r="19" customFormat="false" ht="15" hidden="false" customHeight="false" outlineLevel="0" collapsed="false">
      <c r="A19" s="11"/>
      <c r="B19" s="12" t="s">
        <v>341</v>
      </c>
      <c r="C19" s="11"/>
      <c r="D19" s="11" t="n">
        <f aca="false">SUM(D5:D18)</f>
        <v>60</v>
      </c>
      <c r="E19" s="11" t="n">
        <f aca="false">SUM(E5:E18)</f>
        <v>60</v>
      </c>
      <c r="F19" s="11" t="n">
        <f aca="false">SUM(F5:F18)</f>
        <v>60</v>
      </c>
      <c r="G19" s="11" t="n">
        <f aca="false">SUM(G5:G18)</f>
        <v>60</v>
      </c>
      <c r="H19" s="13" t="n">
        <f aca="false">IF($D19=0,0,$G19/$D19)</f>
        <v>1</v>
      </c>
      <c r="I19" s="11" t="str">
        <f aca="false">IF(AND($D19=$E19,$E19=$G19),"Met","Not met")</f>
        <v>Met</v>
      </c>
    </row>
    <row r="21" customFormat="false" ht="15" hidden="false" customHeight="false" outlineLevel="0" collapsed="false">
      <c r="A21" s="3" t="s">
        <v>342</v>
      </c>
    </row>
    <row r="22" customFormat="false" ht="15" hidden="false" customHeight="false" outlineLevel="0" collapsed="false">
      <c r="A22" s="14" t="s">
        <v>343</v>
      </c>
    </row>
    <row r="23" customFormat="false" ht="15" hidden="false" customHeight="false" outlineLevel="0" collapsed="false">
      <c r="A23" s="14" t="s">
        <v>344</v>
      </c>
    </row>
    <row r="24" customFormat="false" ht="15" hidden="false" customHeight="false" outlineLevel="0" collapsed="false">
      <c r="A24" s="14" t="s">
        <v>345</v>
      </c>
    </row>
    <row r="25" customFormat="false" ht="15" hidden="false" customHeight="false" outlineLevel="0" collapsed="false">
      <c r="A25" s="14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2026-08-30T19:32:18Z</dcterms:created>
  <dc:creator>openpyxl</dc:creator>
  <dc:description/>
  <dc:language>en-US</dc:language>
  <cp:lastModifiedBy/>
  <dcterms:modified xsi:type="dcterms:W3CDTF">2026-08-30T19:32:19Z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